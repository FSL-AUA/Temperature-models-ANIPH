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hd\databases\23.6.26 downloaded from zenodo\databases new add_merging\databases V03\"/>
    </mc:Choice>
  </mc:AlternateContent>
  <xr:revisionPtr revIDLastSave="0" documentId="13_ncr:1_{C2458A08-3892-44FC-A87F-935013F634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hyschem_properties" sheetId="1" r:id="rId1"/>
    <sheet name="Mechanical_properties" sheetId="2" r:id="rId2"/>
    <sheet name="Thermal_properties" sheetId="3" r:id="rId3"/>
    <sheet name="Metadata" sheetId="14" r:id="rId4"/>
    <sheet name="Info" sheetId="15" r:id="rId5"/>
  </sheets>
  <definedNames>
    <definedName name="_xlnm._FilterDatabase" localSheetId="1" hidden="1">Mechanical_properties!$A$1:$AL$473</definedName>
    <definedName name="_xlnm._FilterDatabase" localSheetId="0" hidden="1">Physchem_properties!$A$1:$T$599</definedName>
    <definedName name="_xlnm._FilterDatabase" localSheetId="2" hidden="1">Thermal_properties!$A$1:$AM$473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r2Q1kqAJOjKgZJWENOIlXp7gUkPIIEIW6b5+LJfrdWI="/>
    </ext>
  </extLst>
</workbook>
</file>

<file path=xl/calcChain.xml><?xml version="1.0" encoding="utf-8"?>
<calcChain xmlns="http://schemas.openxmlformats.org/spreadsheetml/2006/main">
  <c r="O103" i="2" l="1"/>
  <c r="T563" i="1"/>
  <c r="T562" i="1"/>
  <c r="E225" i="1"/>
  <c r="E224" i="1"/>
  <c r="E223" i="1"/>
  <c r="E222" i="1"/>
  <c r="E153" i="1"/>
  <c r="E152" i="1"/>
  <c r="E151" i="1"/>
  <c r="E150" i="1"/>
  <c r="E149" i="1"/>
  <c r="T145" i="1"/>
  <c r="F145" i="1"/>
  <c r="T144" i="1"/>
  <c r="F144" i="1"/>
  <c r="T143" i="1"/>
  <c r="F143" i="1"/>
  <c r="T142" i="1"/>
  <c r="F142" i="1"/>
  <c r="T141" i="1"/>
  <c r="F141" i="1"/>
  <c r="T140" i="1"/>
  <c r="F140" i="1"/>
  <c r="T139" i="1"/>
  <c r="F139" i="1"/>
  <c r="T138" i="1"/>
  <c r="F138" i="1"/>
  <c r="F137" i="1"/>
  <c r="T108" i="1"/>
  <c r="T107" i="1"/>
  <c r="T106" i="1"/>
  <c r="T105" i="1"/>
  <c r="E103" i="1"/>
  <c r="F67" i="1"/>
  <c r="E67" i="1" s="1"/>
  <c r="F66" i="1"/>
  <c r="E66" i="1" s="1"/>
  <c r="F65" i="1"/>
  <c r="E65" i="1" s="1"/>
  <c r="F64" i="1"/>
  <c r="E64" i="1" s="1"/>
  <c r="F63" i="1"/>
  <c r="E63" i="1" s="1"/>
  <c r="F62" i="1"/>
  <c r="E62" i="1" s="1"/>
  <c r="F61" i="1"/>
  <c r="E61" i="1" s="1"/>
  <c r="F60" i="1"/>
  <c r="E60" i="1" s="1"/>
  <c r="F59" i="1"/>
  <c r="E59" i="1"/>
  <c r="E58" i="1"/>
  <c r="E57" i="1"/>
  <c r="E56" i="1"/>
  <c r="E55" i="1"/>
  <c r="E54" i="1"/>
  <c r="F53" i="1"/>
  <c r="F52" i="1"/>
  <c r="F51" i="1"/>
  <c r="F50" i="1"/>
  <c r="F49" i="1"/>
  <c r="F48" i="1"/>
  <c r="F47" i="1"/>
  <c r="F46" i="1"/>
  <c r="F45" i="1"/>
  <c r="F44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F22" i="1"/>
  <c r="H21" i="1"/>
  <c r="F21" i="1"/>
  <c r="H20" i="1"/>
  <c r="F20" i="1"/>
  <c r="H19" i="1"/>
  <c r="F19" i="1"/>
  <c r="H18" i="1"/>
  <c r="F18" i="1"/>
  <c r="H17" i="1"/>
  <c r="F17" i="1"/>
  <c r="F16" i="1"/>
  <c r="H15" i="1"/>
  <c r="F15" i="1"/>
  <c r="H14" i="1"/>
  <c r="F14" i="1"/>
  <c r="F13" i="1"/>
  <c r="F12" i="1"/>
  <c r="F11" i="1"/>
  <c r="F10" i="1"/>
  <c r="F9" i="1"/>
  <c r="F8" i="1"/>
  <c r="H7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<sst xmlns="http://schemas.openxmlformats.org/spreadsheetml/2006/main" count="5952" uniqueCount="690">
  <si>
    <t>Study_id</t>
  </si>
  <si>
    <t>Instance</t>
  </si>
  <si>
    <t>Monomer_A</t>
  </si>
  <si>
    <t>Monomer_B</t>
  </si>
  <si>
    <t>Mw_PHBV</t>
  </si>
  <si>
    <t>Mn_PHBV</t>
  </si>
  <si>
    <t>Density</t>
  </si>
  <si>
    <t>Density_units</t>
  </si>
  <si>
    <t>PDI</t>
  </si>
  <si>
    <t>Additive1</t>
  </si>
  <si>
    <t>Additive1_type</t>
  </si>
  <si>
    <t>Additive1_name</t>
  </si>
  <si>
    <t>Additive2</t>
  </si>
  <si>
    <t>Additive2_type</t>
  </si>
  <si>
    <t>Additive2_name</t>
  </si>
  <si>
    <t>3HB</t>
  </si>
  <si>
    <t>No</t>
  </si>
  <si>
    <t>3HV</t>
  </si>
  <si>
    <t>Yes</t>
  </si>
  <si>
    <t>TiO2</t>
  </si>
  <si>
    <t>Mt</t>
  </si>
  <si>
    <t>Omt</t>
  </si>
  <si>
    <t>C10E3-Mt</t>
  </si>
  <si>
    <t>GO</t>
  </si>
  <si>
    <t>Collagen</t>
  </si>
  <si>
    <t>g/cm3</t>
  </si>
  <si>
    <t>lignin</t>
  </si>
  <si>
    <t>alpha_cellulose</t>
  </si>
  <si>
    <t>cellulose_nanofibril</t>
  </si>
  <si>
    <t>OMt</t>
  </si>
  <si>
    <t>DOP</t>
  </si>
  <si>
    <t>ESO</t>
  </si>
  <si>
    <t>TEC</t>
  </si>
  <si>
    <t>ATBC</t>
  </si>
  <si>
    <t>SO</t>
  </si>
  <si>
    <t>CaCo3</t>
  </si>
  <si>
    <t>Eugenol</t>
  </si>
  <si>
    <t>DOS</t>
  </si>
  <si>
    <t>LCB</t>
  </si>
  <si>
    <t>IL</t>
  </si>
  <si>
    <t>HC</t>
  </si>
  <si>
    <t>TE</t>
  </si>
  <si>
    <t>W</t>
  </si>
  <si>
    <t>MFC</t>
  </si>
  <si>
    <t>ESAO</t>
  </si>
  <si>
    <t>TGIC</t>
  </si>
  <si>
    <t>DCP</t>
  </si>
  <si>
    <t>ECP</t>
  </si>
  <si>
    <t>CLF</t>
  </si>
  <si>
    <t>DBP</t>
  </si>
  <si>
    <t>ELO</t>
  </si>
  <si>
    <t>PPG400</t>
  </si>
  <si>
    <t>PPG1000</t>
  </si>
  <si>
    <t>CO</t>
  </si>
  <si>
    <t>CF</t>
  </si>
  <si>
    <t>CWM</t>
  </si>
  <si>
    <t>CHM</t>
  </si>
  <si>
    <t>CON</t>
  </si>
  <si>
    <t>OEO</t>
  </si>
  <si>
    <t>RE</t>
  </si>
  <si>
    <t>GTE</t>
  </si>
  <si>
    <t>MCM-41</t>
  </si>
  <si>
    <t>Eucalyptol</t>
  </si>
  <si>
    <t>Limonene</t>
  </si>
  <si>
    <t>Thymol</t>
  </si>
  <si>
    <t>Branches</t>
  </si>
  <si>
    <t>Leaves</t>
  </si>
  <si>
    <t>Grass</t>
  </si>
  <si>
    <t>MF</t>
  </si>
  <si>
    <t>FF</t>
  </si>
  <si>
    <t>RF</t>
  </si>
  <si>
    <t>wood</t>
  </si>
  <si>
    <t>KL</t>
  </si>
  <si>
    <t>LNP</t>
  </si>
  <si>
    <t>mcl_PHA</t>
  </si>
  <si>
    <t>NC</t>
  </si>
  <si>
    <t>LB</t>
  </si>
  <si>
    <t>Nucleating_agent</t>
  </si>
  <si>
    <t>CA</t>
  </si>
  <si>
    <t>BN</t>
  </si>
  <si>
    <t>uracil</t>
  </si>
  <si>
    <t>OA</t>
  </si>
  <si>
    <t>IN</t>
  </si>
  <si>
    <t>IN-AC</t>
  </si>
  <si>
    <t>IN-PR</t>
  </si>
  <si>
    <t>IN-BU</t>
  </si>
  <si>
    <t>IN-HE</t>
  </si>
  <si>
    <t>PB</t>
  </si>
  <si>
    <t>PB-AC</t>
  </si>
  <si>
    <t>PB-PR</t>
  </si>
  <si>
    <t>PB-BU</t>
  </si>
  <si>
    <t>PB-HE</t>
  </si>
  <si>
    <t>PEG6000</t>
  </si>
  <si>
    <t>PEG4000</t>
  </si>
  <si>
    <t>U_AS</t>
  </si>
  <si>
    <t>T_AS</t>
  </si>
  <si>
    <t>U_RH</t>
  </si>
  <si>
    <t>T_RH</t>
  </si>
  <si>
    <t>LRR</t>
  </si>
  <si>
    <t>ES</t>
  </si>
  <si>
    <t>Calcite</t>
  </si>
  <si>
    <t>Vaterite</t>
  </si>
  <si>
    <t>RSE160</t>
  </si>
  <si>
    <t>RSE180</t>
  </si>
  <si>
    <t>PG</t>
  </si>
  <si>
    <t>glycerol</t>
  </si>
  <si>
    <t>PEG</t>
  </si>
  <si>
    <t>LCF</t>
  </si>
  <si>
    <t>CC</t>
  </si>
  <si>
    <t>cellulose</t>
  </si>
  <si>
    <t>BC</t>
  </si>
  <si>
    <t>L-231</t>
  </si>
  <si>
    <t>PHV</t>
  </si>
  <si>
    <t>ECO</t>
  </si>
  <si>
    <t>HBP-Bs</t>
  </si>
  <si>
    <t>RCh</t>
  </si>
  <si>
    <t>MCC</t>
  </si>
  <si>
    <t>MCC_T</t>
  </si>
  <si>
    <t>MCC_P</t>
  </si>
  <si>
    <t>ECF</t>
  </si>
  <si>
    <t>EC</t>
  </si>
  <si>
    <t>CNC</t>
  </si>
  <si>
    <t>CNC-CL</t>
  </si>
  <si>
    <t>CNC-LA</t>
  </si>
  <si>
    <t>TBC</t>
  </si>
  <si>
    <t>p</t>
  </si>
  <si>
    <t>BCp</t>
  </si>
  <si>
    <t>BC-ZnO</t>
  </si>
  <si>
    <t>nucleating_agent</t>
  </si>
  <si>
    <t>TPU</t>
  </si>
  <si>
    <t>HMDI</t>
  </si>
  <si>
    <t>CNTs</t>
  </si>
  <si>
    <t>GNPs</t>
  </si>
  <si>
    <t>HAp</t>
  </si>
  <si>
    <t>PECH</t>
  </si>
  <si>
    <t>F68</t>
  </si>
  <si>
    <t>F127</t>
  </si>
  <si>
    <t>PGV</t>
  </si>
  <si>
    <t>TCN</t>
  </si>
  <si>
    <t>CD</t>
  </si>
  <si>
    <t>IC</t>
  </si>
  <si>
    <t>ISO</t>
  </si>
  <si>
    <t>ASTM</t>
  </si>
  <si>
    <t>T_mech</t>
  </si>
  <si>
    <t>T_mech_units</t>
  </si>
  <si>
    <t>Spread_speed</t>
  </si>
  <si>
    <t>Spread_units</t>
  </si>
  <si>
    <t>Morphology</t>
  </si>
  <si>
    <t>Size_diameter</t>
  </si>
  <si>
    <t>Size_length</t>
  </si>
  <si>
    <t>Size_width</t>
  </si>
  <si>
    <t>Size_thickness</t>
  </si>
  <si>
    <t>Size_units</t>
  </si>
  <si>
    <t>Young_modulus</t>
  </si>
  <si>
    <t>Tensile_strength</t>
  </si>
  <si>
    <t>Stress_at_break</t>
  </si>
  <si>
    <t>Yield_strength</t>
  </si>
  <si>
    <t>Mechanical_units</t>
  </si>
  <si>
    <t>Elongation_at_break</t>
  </si>
  <si>
    <t>film</t>
  </si>
  <si>
    <t>μm</t>
  </si>
  <si>
    <t>Mpa</t>
  </si>
  <si>
    <t>mm</t>
  </si>
  <si>
    <t>106.7</t>
  </si>
  <si>
    <t>Particle</t>
  </si>
  <si>
    <t>celsius</t>
  </si>
  <si>
    <t>mm/min</t>
  </si>
  <si>
    <t>638-5</t>
  </si>
  <si>
    <t>18.1</t>
  </si>
  <si>
    <t>20.6</t>
  </si>
  <si>
    <t>21.3</t>
  </si>
  <si>
    <t>28.3</t>
  </si>
  <si>
    <t>26.5</t>
  </si>
  <si>
    <t>D882</t>
  </si>
  <si>
    <t>D883</t>
  </si>
  <si>
    <t>D884</t>
  </si>
  <si>
    <t>D885</t>
  </si>
  <si>
    <t>D886</t>
  </si>
  <si>
    <t>D887</t>
  </si>
  <si>
    <t>D888</t>
  </si>
  <si>
    <t>kgf/mm^2</t>
  </si>
  <si>
    <t>fiber</t>
  </si>
  <si>
    <t>nm</t>
  </si>
  <si>
    <t>D638</t>
  </si>
  <si>
    <t>D639</t>
  </si>
  <si>
    <t>D640</t>
  </si>
  <si>
    <t>ISO_527</t>
  </si>
  <si>
    <t>mm/s</t>
  </si>
  <si>
    <t>D1708</t>
  </si>
  <si>
    <t>plate</t>
  </si>
  <si>
    <t>dumbbell</t>
  </si>
  <si>
    <t>dumbbell-film</t>
  </si>
  <si>
    <t>527-1</t>
  </si>
  <si>
    <t>N/mm^2</t>
  </si>
  <si>
    <t>D882-09</t>
  </si>
  <si>
    <t>ASTM D638</t>
  </si>
  <si>
    <t>dumbell shape</t>
  </si>
  <si>
    <t>2972.11</t>
  </si>
  <si>
    <t>26.62</t>
  </si>
  <si>
    <t>2175.30</t>
  </si>
  <si>
    <t>27.28</t>
  </si>
  <si>
    <t>1936.25</t>
  </si>
  <si>
    <t>26.48</t>
  </si>
  <si>
    <t>1677.29</t>
  </si>
  <si>
    <t>27.15</t>
  </si>
  <si>
    <t>1577.69</t>
  </si>
  <si>
    <t>27.02</t>
  </si>
  <si>
    <t>1498.01</t>
  </si>
  <si>
    <t>27.68</t>
  </si>
  <si>
    <t>1448.21</t>
  </si>
  <si>
    <t>27.41</t>
  </si>
  <si>
    <t>26.88</t>
  </si>
  <si>
    <t xml:space="preserve"> ISO_ 527:2012</t>
  </si>
  <si>
    <t>ASTM D882-95a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</si>
  <si>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</si>
  <si>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</si>
  <si>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</si>
  <si>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</si>
  <si>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</si>
  <si>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</si>
  <si>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</si>
  <si>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</si>
  <si>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</si>
  <si>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</si>
  <si>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DHm1</t>
  </si>
  <si>
    <t>DHm2</t>
  </si>
  <si>
    <t>DHc1</t>
  </si>
  <si>
    <t>DHc2</t>
  </si>
  <si>
    <t>Enthaply_units</t>
  </si>
  <si>
    <t>J/g</t>
  </si>
  <si>
    <t>cal/g</t>
  </si>
  <si>
    <t>154.6</t>
  </si>
  <si>
    <t>162.8</t>
  </si>
  <si>
    <t>Author</t>
  </si>
  <si>
    <t>Date</t>
  </si>
  <si>
    <t>Title</t>
  </si>
  <si>
    <t>Doi</t>
  </si>
  <si>
    <t>Luo et al.</t>
  </si>
  <si>
    <t xml:space="preserve">Polyhydroxyalkanoate copolyesters produced by Ralstonia eutropha PHB−4 harboring a low-substrate-specificity PHA synthase PhaC2Ps from Pseudomonas stutzeri 1317 </t>
  </si>
  <si>
    <t xml:space="preserve">10.1016/j.bej.2006.10.005 </t>
  </si>
  <si>
    <t>Kang et al.</t>
  </si>
  <si>
    <t xml:space="preserve">Structure and properties of poly(3-hydroxybutyrate-co-4-hydroxybutyrate) produced by Alcaligenes latus. </t>
  </si>
  <si>
    <t>10.1007/bf00129382 </t>
  </si>
  <si>
    <t>Myung et al.</t>
  </si>
  <si>
    <t>Methane or methanol-oxidation dependent synthesis of poly(3-hydroxybutyrate-co-3-hydroxyvalerate) by obligate type II methanotrophs</t>
  </si>
  <si>
    <t>10.1016/j.procbio.2016.02.005</t>
  </si>
  <si>
    <t xml:space="preserve">Zhang et al. </t>
  </si>
  <si>
    <t xml:space="preserve">Mechanical properties, structure analysis and enzymatic degradation of uniaxially cold-drawn films of poly[(R)-3-hydroxybutyrate-co-4-hydroxybutyrate] </t>
  </si>
  <si>
    <t xml:space="preserve">10.1016/j.polymdegradstab.2011.09.011 </t>
  </si>
  <si>
    <t>Wang et al.</t>
  </si>
  <si>
    <t xml:space="preserve">Biosynthesis of polyhydroxyalkanoate homopolymers by Pseudomonas putida </t>
  </si>
  <si>
    <t xml:space="preserve">10.1007/s00253-010-2964-x </t>
  </si>
  <si>
    <t xml:space="preserve">Mizuno et al. </t>
  </si>
  <si>
    <t xml:space="preserve">Biosynthesis and thermal characterization of polyhydroxyalkanoates bearing phenyl and phenylalkyl side groups </t>
  </si>
  <si>
    <t xml:space="preserve">10.1016/j.polymdegradstab.2014.05.020 </t>
  </si>
  <si>
    <t>Md. Iqbal</t>
  </si>
  <si>
    <t xml:space="preserve">Synthesis of P(3HB-co-4HB) copolymer with target-specific 4HB molar fractions using combinations of carbon substrates </t>
  </si>
  <si>
    <t xml:space="preserve">10.1002/jctb.4133 </t>
  </si>
  <si>
    <t>Shen et al.</t>
  </si>
  <si>
    <t xml:space="preserve">Production and characterization of homopolymer poly(3-hydroxyvalerate) (PHV) accumulated by wild type and recombinant Aeromonas hydrophila strain 4AK4 </t>
  </si>
  <si>
    <t xml:space="preserve">10.1016/j.biortech.2009.03.065 </t>
  </si>
  <si>
    <t>Phong et al.</t>
  </si>
  <si>
    <t>Biosynthesis of poly(3-hydroxybutyrate) and its copolymers by Yangia sp. ND199 from different carbon sources</t>
  </si>
  <si>
    <t>10.1016/j.ijbiomac.2015.12.037</t>
  </si>
  <si>
    <t>Shimamura et al.</t>
  </si>
  <si>
    <t xml:space="preserve">Microbial Synthesis and Characterization of Poly(3-hydroxybutyrate-co-3-hydroxypropionate) </t>
  </si>
  <si>
    <t>10.1021/ma00094a003</t>
  </si>
  <si>
    <t>Chanprateep et al.</t>
  </si>
  <si>
    <t xml:space="preserve">Production and Characterization of Biodegradable Terpolymer Poly(3-Hydroxybutyrate-co-3-Hydroxyvalerate-co- 4-Hydroxybutyrate) by Alcaligenes sp. A-04 </t>
  </si>
  <si>
    <t xml:space="preserve">10.1263/jbb.101.51 </t>
  </si>
  <si>
    <t>Laycock et al.</t>
  </si>
  <si>
    <t xml:space="preserve">Thermal Properties and Crystallization Behavior of Fractionated Blocky and Random Polyhydroxyalkanoate Copolymers from Mixed Microbial Cultures </t>
  </si>
  <si>
    <t xml:space="preserve">10.1002/app.40836 </t>
  </si>
  <si>
    <t>D. Ashby et al.</t>
  </si>
  <si>
    <t>Burkholderia sacchari DSM 17165: A Source of Compositionally-tunable Block-copolymeric Short-chain Poly(hydroxyalkanoates) from Xylose and Levulinic Acid</t>
  </si>
  <si>
    <t xml:space="preserve">10.1016/j.biortech.2017.12.045 </t>
  </si>
  <si>
    <t>Dai et al.</t>
  </si>
  <si>
    <t xml:space="preserve">Production of targeted poly(3-hydroxyalkanoates) copolymers by glycogen accumulating organisms using acetate as sole carbon source </t>
  </si>
  <si>
    <t xml:space="preserve">10.1016/j.jbiotec.2007.01.036 </t>
  </si>
  <si>
    <t>Ferre-Guel et al.</t>
  </si>
  <si>
    <t>Biosynthesis and Characterisation of Polyhydroxyalkanoates with Controlled Composition and Microstructure</t>
  </si>
  <si>
    <t xml:space="preserve">10.1021/acs.biomac.7b01788 </t>
  </si>
  <si>
    <t>Han et al.</t>
  </si>
  <si>
    <t>Povolo et al.</t>
  </si>
  <si>
    <t xml:space="preserve">Polyhydroxyalkanoate biosynthesis by Hydrogenophaga pseudoflava DSM1034 from structurally unrelated carbon sources </t>
  </si>
  <si>
    <t xml:space="preserve">10.1016/j.nbt.2012.11.019 </t>
  </si>
  <si>
    <t>Arcana et al.</t>
  </si>
  <si>
    <t>Ring-opening copolymerization of racemic b-butyrolactone with e-caprolactone and d-valerolactone by distannoxane derivative catalysts: study of the enzymatic degradation in aerobic media of obtained copolymers</t>
  </si>
  <si>
    <t>10.1002/pi.1036</t>
  </si>
  <si>
    <t>Buzarovska et al</t>
  </si>
  <si>
    <t>Poly(hydroxybutyrate-co-hydroxyvalerate)/Titanium Dioxide Nanocomposites: A Degradation Study</t>
  </si>
  <si>
    <t>10.1002/app.30867</t>
  </si>
  <si>
    <t>Carli et al.</t>
  </si>
  <si>
    <t>Biopolymer nanocomposites based on poly(hydroxybutyrate-co-hydroxyvalerate) reinforced by a non-ionic organoclay</t>
  </si>
  <si>
    <t>10.1002/pi.4781</t>
  </si>
  <si>
    <t>Doi et al.</t>
  </si>
  <si>
    <t>Microbial Synthesis and Characterization of Poly( 3-hydroxybutyrate-co-3-hydroxyhexanoate</t>
  </si>
  <si>
    <t>10.1021/ma00118a007</t>
  </si>
  <si>
    <t>Khanna et al.</t>
  </si>
  <si>
    <t>Recent advances in microbial polyhydroxyalkanoates</t>
  </si>
  <si>
    <t>10.1016/j.procbio.2004.01.053</t>
  </si>
  <si>
    <t>Avella et al.</t>
  </si>
  <si>
    <t>Review Properties of blends and composites based on poly(3-hydroxy)butyrate (PHB) and poly(3-hydroxybutyrate-hydroxyvalerate) (PHBV) copolymers</t>
  </si>
  <si>
    <t>10.1023/A:1004740522751</t>
  </si>
  <si>
    <t>Kouhi et al.</t>
  </si>
  <si>
    <t>Poly L lysine-modified PHBV based nanofibrous scaffolds for bone cell mineralization and osteogenic differentiation</t>
  </si>
  <si>
    <r>
      <rPr>
        <u/>
        <sz val="11"/>
        <color rgb="FF1155CC"/>
        <rFont val="&quot;Aptos Narrow&quot;"/>
      </rPr>
      <t>10.1016/j.apsusc.2018.06.239</t>
    </r>
  </si>
  <si>
    <t>Zine et al.</t>
  </si>
  <si>
    <t>Nanofibrous poly(3-hydroxybutyrate-co-3-hydroxyvalerate)/collagen/graphene oxide scaffolds for wound coverage</t>
  </si>
  <si>
    <r>
      <rPr>
        <u/>
        <sz val="11"/>
        <color rgb="FF1155CC"/>
        <rFont val="&quot;Aptos Narrow&quot;"/>
      </rPr>
      <t>10.1016/j.msec.2017.05.138</t>
    </r>
  </si>
  <si>
    <t>Prabhakaran</t>
  </si>
  <si>
    <t>Electrospun Aligned PHBV/Collagen Nanoﬁbers asSubstrates for Nerve Tissue Engineering</t>
  </si>
  <si>
    <t>10.1002/bit.24937</t>
  </si>
  <si>
    <t>Muniyasami et al.</t>
  </si>
  <si>
    <t>Mineralization of Poly(lactic acid) (PLA), Poly(3-hydroxybutyrate-co-valerate) (PHBV) and PLA/PHBV Blend in Compost and Soil Environments</t>
  </si>
  <si>
    <t>10.7569/JRM.2016.634104</t>
  </si>
  <si>
    <t>Matsusaki et al.</t>
  </si>
  <si>
    <t>Biosynthesis and Properties ofPoly(3-hydroxybutyrate-co-3-hydroxyalkanoates) byRecombinant Strains ofPseudomonas sp. 61-3</t>
  </si>
  <si>
    <t>10.1021/bm9900040</t>
  </si>
  <si>
    <t>David et al.</t>
  </si>
  <si>
    <t>How Vine Shoots as Fillers Impact the Biodegradation of PHBV-Based Composites</t>
  </si>
  <si>
    <t>10.3390/ijms21010228</t>
  </si>
  <si>
    <t>Mousavioun et al.</t>
  </si>
  <si>
    <t>Thermophysical properties and rheology of PHB/lignin blends</t>
  </si>
  <si>
    <t>10.1016/j.indcrop.2013.07.026</t>
  </si>
  <si>
    <t>Haywood el al.</t>
  </si>
  <si>
    <t>Accumulation of a poly(hydroxyalkanoate) copolymer containing primarily 3-hydroxyvalerate from simple carbohydrate substrates by Rhodococcus sp. NCIMB 40126</t>
  </si>
  <si>
    <t>10.1016/0141-8130(91)90053-W</t>
  </si>
  <si>
    <t>Uzun et al.</t>
  </si>
  <si>
    <t>Biocomposites from polyhydroxybutyrate and bio-fillers by solvent casting method</t>
  </si>
  <si>
    <t>10.1007/s12034-017-1371-7</t>
  </si>
  <si>
    <t>Slongo et al.</t>
  </si>
  <si>
    <t>Comparison of the Effect of Plasticizers on PHBV—and Organoclay—Based Biodegradable Polymer Nanocomposites plasticized poly(hydroxybutyrate-co-hydroxyvalerate) with</t>
  </si>
  <si>
    <t>10.1007/s10924-017-1128-9</t>
  </si>
  <si>
    <t xml:space="preserve"> Branciforti et al.</t>
  </si>
  <si>
    <t>Crystallinity study of nano-biocomposites based on plasticized poly(hydroxybutyrate-co-hydroxyvalerate) with organo-modified montmorillonite</t>
  </si>
  <si>
    <t>10.1016/j.polymertesting.2013.08.001</t>
  </si>
  <si>
    <t>Choi et al.</t>
  </si>
  <si>
    <t>Thermal and Mechanical Properties of PHBV plasticized by Biodegradable Soybean Oills</t>
  </si>
  <si>
    <t>10.1002/masy.200350707</t>
  </si>
  <si>
    <t>Samantaray et al.</t>
  </si>
  <si>
    <t>Production of poly(3-hydroxybutyrate-co-3-hydroxyvalerate) co-polymer by the diazotrophic cyanobacterium Aulosira  fertilissima CCC 444</t>
  </si>
  <si>
    <t>10.1007/s10811-013-0073-9</t>
  </si>
  <si>
    <t>Abbasi et al.</t>
  </si>
  <si>
    <t>Effect of 3-Hydroxyvalerate Content on Thermal, Mechanical, and Rheological Properties of Poly(3-hydroxybutyrate-co-3-hydroxyvalerate) Biopolymers Produced from Fermented Dairy Manure</t>
  </si>
  <si>
    <t>10.3390/polym14194140</t>
  </si>
  <si>
    <t>Gigante et al.</t>
  </si>
  <si>
    <t>Utilization of coffee silverskin in the production of Poly(3-hydroxybutyrateco-3-hydroxyvalerate) biopolymer-based thermoplastic biocomposites for food contact applications</t>
  </si>
  <si>
    <t>10.1016/j.compositesa.2020.106172</t>
  </si>
  <si>
    <t>Effect of CaCO3 on thermal and crystalline morphology properties of biodegradable PHBV</t>
  </si>
  <si>
    <t>10.4028/www.scientific.net/AMR.781-784.542</t>
  </si>
  <si>
    <t>Figueroa-Lopez et al.</t>
  </si>
  <si>
    <t>Development of Electrospun Poly(3-hydroxybutyrate-co-3-hydroxyvalerate) Monolayers Containing Eugenol and Their Application in Multilayer Antimicrobial Food Packaging</t>
  </si>
  <si>
    <t>10.3389/fnut.2020.00140</t>
  </si>
  <si>
    <t xml:space="preserve">Processability Modifications of Poly(3-hydroxybutyrate) by Plasticizing, Blending, and Stabilizing
</t>
  </si>
  <si>
    <t>10.1002/app.27004</t>
  </si>
  <si>
    <t>Angelini et al.</t>
  </si>
  <si>
    <t>Acid-insoluble lignin and holocellulose from a lignocellulosic biowaste: Bio-fillers in poly(3-hydroxybutyrate) into Poly(3-hydroxybutyrate-co-3-hydroxyvalerate) by</t>
  </si>
  <si>
    <t>10.1016/j.eurpolymj.2016.01.024</t>
  </si>
  <si>
    <t>Freitas et al.</t>
  </si>
  <si>
    <t>Atomization of Microfibrillated Cellulose and Its Incorporation into Poly(3-hydroxybutyrate-co-3-hydroxyvalerate) by Reactive Extrusion</t>
  </si>
  <si>
    <r>
      <rPr>
        <u/>
        <sz val="11"/>
        <color rgb="FF000000"/>
        <rFont val="Aptos Narrow"/>
      </rPr>
      <t>10.3390/app12042111</t>
    </r>
  </si>
  <si>
    <t>Biosynthesis and Thermal Properties of PHBV Produced from Levulinic Acid by Ralstonia eutropha</t>
  </si>
  <si>
    <t>10.1371/journal.pone.0060318</t>
  </si>
  <si>
    <t>Fang et al.</t>
  </si>
  <si>
    <t>High mechanical property and antibacterial poly (3-hydroxybutyrate-co-3-hydroxyvalerate)/functional enzymatically-synthesized cellulose biodegradable composite</t>
  </si>
  <si>
    <t>10.1016/j.ijbiomac.2022.11.140</t>
  </si>
  <si>
    <t>Panaitescua et al.</t>
  </si>
  <si>
    <t>Thermal and mechanical properties of poly(3-hydroxybutyrate) reinforced with cellulose fibers from wood waste</t>
  </si>
  <si>
    <t>10.1016/j.indcrop.2019.112071</t>
  </si>
  <si>
    <t>Bhati et al.</t>
  </si>
  <si>
    <t>Production and characterization of poly(3-hydroxybutyrate-co-3-hydroxyvalerate) co-polymer by a N2-fixing cyanobacterium, Nostoc muscorum Agardh</t>
  </si>
  <si>
    <t>10.1002/jctb.2737</t>
  </si>
  <si>
    <t>Effect of biodegradable plasticizers on thermal and mechanical properties of poly(3-hydroxybutyrate)</t>
  </si>
  <si>
    <t>10.1016/j.polymertesting.2003.09.005</t>
  </si>
  <si>
    <t>Ino et al.</t>
  </si>
  <si>
    <t>Mechanical properties of cold-drawn films of ultrahigh-molecularweight poly(3-hydroxybutyrate-co-3-hydroxyvalerate) produced by Haloferax mediterranei</t>
  </si>
  <si>
    <t>10.1038/s41428-020-0379-9</t>
  </si>
  <si>
    <t>Kai et al.</t>
  </si>
  <si>
    <t>New Dual Functional PHB-Grafted Lignin Copolymer: Synthesis, Mechanical Properties, and Biocompatibility Studies</t>
  </si>
  <si>
    <t>10.1021/acsabm.8b00445</t>
  </si>
  <si>
    <t>Madden et al.</t>
  </si>
  <si>
    <t>Synthesis and Characterization of Poly(3-hydroxybutyrate) and Poly(3-hydroxybutyrate-co-3-hydroxyvalerate) Polymer Mixtures Produced in High-Density Fed-Batch Cultures of Ralstonia eutropha (Alcaligenes eutrophus)</t>
  </si>
  <si>
    <t>10.1021/ma980606w</t>
  </si>
  <si>
    <t xml:space="preserve">Akdoğan et al. </t>
  </si>
  <si>
    <t>Enhanced production of poly(3‐hydroxybutyrate‐co‐3‐hydroxyvalerate) biopolymer by recombinant Bacillus megaterium in fed‐batch bioreactors</t>
  </si>
  <si>
    <t>10.1007/s00449-020-02452-z</t>
  </si>
  <si>
    <t>Garcia et al.</t>
  </si>
  <si>
    <t>Plasticization effects of epoxidized vegetable oils on mechanical properties of poly(3-hydroxybutyrate)</t>
  </si>
  <si>
    <t>10.1002/pi.5164</t>
  </si>
  <si>
    <t>Cyras et al.</t>
  </si>
  <si>
    <t>Thermal Stability of P(HB-co-HV) and Its Blends with Polyalcohols: Crystallinity, Mechanical Properties, and Kinetics of Degradation</t>
  </si>
  <si>
    <t>10.1002/1097-4628(20000923)77:13&lt;2889::AID-APP11&gt;3.0.CO;2-O</t>
  </si>
  <si>
    <t>Oliveira et al.</t>
  </si>
  <si>
    <t>The Role of Chemical Treatments on Curaua Fibers on Mechanical and Thermal Behavior of Biodegradable Composites</t>
  </si>
  <si>
    <t>10.3390/app142210621</t>
  </si>
  <si>
    <t>Lopez et al.</t>
  </si>
  <si>
    <t>Development and Characterization of Electrospun Poly(3-hydroxybutyrate-co-3-hydroxyvalerate) Biopapers Containing Cerium Oxide Nanoparticles for Active Food Packaging Applications</t>
  </si>
  <si>
    <t>10.3390/nano13050823</t>
  </si>
  <si>
    <t>Camargo et al.</t>
  </si>
  <si>
    <t>Processing and characterization of composites of poly(3-hydroxybutyrate-co-hydroxyvalerate) and lignin from sugar cane bagasse</t>
  </si>
  <si>
    <t>10.1177/0021998311418389</t>
  </si>
  <si>
    <t>Antimicrobial and Antioxidant Performance of Various Essential Oils and Natural Extracts and Their Incorporation into Biowaste Derived Poly(3-hydroxybutyrate-co-3-hydroxyvalerate) Layers Made from Electrospun Ultrathin Fibers</t>
  </si>
  <si>
    <t>10.3390/nano9020144</t>
  </si>
  <si>
    <t>Brouchon et al.</t>
  </si>
  <si>
    <t>Biosynthesis of poly(3-hydroxybutyrate-co-3-hydroxyvalerate) (PHBHV) using microalgae-derived starch and levulinic acid</t>
  </si>
  <si>
    <t>10.1016/j.polymdegradstab.2025.111176</t>
  </si>
  <si>
    <t>Rodríguez et al.</t>
  </si>
  <si>
    <t>Blends of Poly(3-Hydroxybutyrate-co-3-Hydroxyvalerate) with Fruit Pulp Biowaste Derived Poly(3-Hydroxybutyrate-co-3-droxyvalerate-co-3-Hydroxyhexanoate) for Organic Recycling Food Packaging</t>
  </si>
  <si>
    <t>10.3390/polym13071155</t>
  </si>
  <si>
    <t>Rodriguez et al.</t>
  </si>
  <si>
    <t>Development and Characterization of Electrospun Biopapers of Poly(3-hydroxybutyrate-co-3-hydroxyvalerate) Derived from Cheese Whey with Varying 3‐Hydroxyvalerate Contents</t>
  </si>
  <si>
    <t>10.1021/acs.biomac.1c00353</t>
  </si>
  <si>
    <t>Sanhueza et al.</t>
  </si>
  <si>
    <t>Influence of the carbon source on the properties of poly-(3)-hydroxybutyrate produced by Paraburkholderia xenovorans LB400 and its electrospun fibers electrospun fibers</t>
  </si>
  <si>
    <t>10.1016/j.ijbiomac.2020.02.080</t>
  </si>
  <si>
    <t>Electrospun Antimicrobial Films of Poly(3-hydroxybutyrate-co-3-hydroxyvalerate) Containing Eugenol Essential Oil Encapsulated in Mesoporous Silica Nanoparticles</t>
  </si>
  <si>
    <t>10.3390/nano9020227</t>
  </si>
  <si>
    <t xml:space="preserve"> Mousavioun et al.</t>
  </si>
  <si>
    <t>Environmental degradation of lignin/poly(hydroxybutyrate) blends</t>
  </si>
  <si>
    <t>10.1016/j.polymdegradstab.2012.04.004</t>
  </si>
  <si>
    <t>Fayyazzbakhsh et al</t>
  </si>
  <si>
    <t>Selected Simple Natural Antimicrobial Terpenoids as Additives to Control Biodegradation of Polyhydroxy Butyrate</t>
  </si>
  <si>
    <t>10.3390/ijms232214079</t>
  </si>
  <si>
    <t>Viretto et al.</t>
  </si>
  <si>
    <t>Urban parks and gardens green waste: A valuable resource for the production of fillers for biocomposites applications</t>
  </si>
  <si>
    <t>10.1016/j.wasman.2020.10.018</t>
  </si>
  <si>
    <t xml:space="preserve">Cyras et al. </t>
  </si>
  <si>
    <t>Biodegradable films from PHB-8HV copolymers and polyalcohols blends: crystallinity, dynamic mechanical analysis and tensile properties</t>
  </si>
  <si>
    <r>
      <rPr>
        <u/>
        <sz val="11"/>
        <color rgb="FF1155CC"/>
        <rFont val="Aptos Narrow"/>
      </rPr>
      <t>10.1002/(SICI)1097-0126(199908)48:8&lt;705::AID-PI205&gt;3.0.CO;2-P</t>
    </r>
  </si>
  <si>
    <t>Lugoloobi et al.</t>
  </si>
  <si>
    <t>Fabrication of lignin/poly(3-hydroxybutyrate) nanocomposites with enhanced properties via a Pickering emulsion approach</t>
  </si>
  <si>
    <t>10.1016/j.ijbiomac.2020.10.156</t>
  </si>
  <si>
    <t xml:space="preserve"> Marcoaldi et al.</t>
  </si>
  <si>
    <t>Challenges in lignin integration within biopolymer matrices: Toward stable and effective lignin nanoparticles as additives for sustainable food packaging</t>
  </si>
  <si>
    <t>10.1016/j.indcrop.2024.120336</t>
  </si>
  <si>
    <t>Interfacial improvements in a green biopolymer alloy of poly(3-hydroxybutyrate-co-3-hydroxyvalerate) and lignin via in-situ reactive extrusion</t>
  </si>
  <si>
    <t>10.1021/acssuschemeng.6b00495</t>
  </si>
  <si>
    <t>Panaitescu et al.</t>
  </si>
  <si>
    <t>Poly(3-hydroxybutyrate) nanocomposites modified with even and odd chain length polyhydroxyalkanoates</t>
  </si>
  <si>
    <t>10.1016/j.ijbiomac.2023.125324</t>
  </si>
  <si>
    <t>Ghosh et al.</t>
  </si>
  <si>
    <t>Blends of Biodegradable Thermoplastics with Lignin Esters</t>
  </si>
  <si>
    <t>10.1021/bk-2000-0742.ch017</t>
  </si>
  <si>
    <t>Pan et al.</t>
  </si>
  <si>
    <t>Crystallization Kinetics of Bacterial Poly(3-hydroxylbutyrate) Copolyesters with Cyanuric Acid as a Nucleating Agent</t>
  </si>
  <si>
    <t>10.1002/app.38825</t>
  </si>
  <si>
    <t>Esterification of industrial lignin and its effect on the resulting poly(3-hydroxybutyrate-co-3-hydroxyvalerate) or polypropylene blends</t>
  </si>
  <si>
    <t>10.1016/j.indcrop.2016.12.024</t>
  </si>
  <si>
    <t>Adams et al.</t>
  </si>
  <si>
    <t>Injection-Molded Bioblends from Lignin and Biodegradable Polymers: Processing and Performance Evaluation</t>
  </si>
  <si>
    <t>10.1007/s10924-017-1132-0</t>
  </si>
  <si>
    <t>Plasticized poly(3-hydroxybutyrate) with improved melt processing and balanced properties</t>
  </si>
  <si>
    <t>10.1002/app.44810</t>
  </si>
  <si>
    <t>Davaritouchaee et al.</t>
  </si>
  <si>
    <t>One-Step Oxidation of Orange Peel Waste to Carbon Feedstock for Bacterial Production of Polyhydroxybutyrate</t>
  </si>
  <si>
    <t>10.3390/polym15030697</t>
  </si>
  <si>
    <t>Kovalcik et al.</t>
  </si>
  <si>
    <t>Designing packaging materials with viscoelastic and gas barrier properties by optimized processing of poly(3-hydroxybutyrate-co-3-hydroxyvalerate) with lignin</t>
  </si>
  <si>
    <t>10.1016/j.reactfunctpolym.2015.07.001</t>
  </si>
  <si>
    <t>Sánchez‑Safont et al.</t>
  </si>
  <si>
    <t>Effect of the Purification Treatment on the Valorization of Natural Cellulosic Residues as Fillers in PHB-Based Composites for Short Shelf Life Applications</t>
  </si>
  <si>
    <t>10.1007/s12649-020-01192-1</t>
  </si>
  <si>
    <t>From biowaste to bioresource: Effect of a lignocellulosic filler on the properties of poly(3-hydroxybutyrate)</t>
  </si>
  <si>
    <t>10.1016/j.ijbiomac.2014.07.038</t>
  </si>
  <si>
    <t>Production and characterization of copolymers consisting of 3-hydroxybu-tyrate and increased 3-hydroxyvalerate by β-oxidation  weakened Halomonas</t>
  </si>
  <si>
    <t>10.1016/j.ymben.2025.02.009</t>
  </si>
  <si>
    <t xml:space="preserve"> Seydibeyoğlu et al.</t>
  </si>
  <si>
    <t>Synergistic improvements in the impact strength and % elongation of polyhydroxybutyrate-co-valerate copolymers with functionalized soybean oils and POSS</t>
  </si>
  <si>
    <t>10.1007/s12588-010-0005-3</t>
  </si>
  <si>
    <t>Kirboga et al.</t>
  </si>
  <si>
    <t>Oxygen Barrier and Thermomechanical Properties of Poly (3-hydroxybutyrate-co-3-hydroxyvalerate) Biocomposites Reinforced with Calcium Carbonate Particles</t>
  </si>
  <si>
    <t>10.17344/acsi.2019.5291</t>
  </si>
  <si>
    <t>Biosynthesis, Characterization, and Hemostasis Potential of Tailor-Made Poly(3-hydroxybutyrate-co-3-hydroxyvalerate) Produced by Haloferax mediterranei</t>
  </si>
  <si>
    <t>10.1021/bm5016267</t>
  </si>
  <si>
    <t>Moll et al.</t>
  </si>
  <si>
    <t>Effect of active rice straw extracts on the properties and migration of PHBV films</t>
  </si>
  <si>
    <t>10.1016/j.fpsl.2025.101454</t>
  </si>
  <si>
    <t>Jost el al.</t>
  </si>
  <si>
    <t>Effect of different plasticisers on the mechanical and barrier properties of extruded cast PHBV films</t>
  </si>
  <si>
    <t>10.1016/j.eurpolymj.2015.04.012</t>
  </si>
  <si>
    <t xml:space="preserve"> Shichao et al.</t>
  </si>
  <si>
    <t>Influence of Amorphous Alkaline Lignin on the Crystallization Behavior and Thermal Properties of Bacterial Polyester</t>
  </si>
  <si>
    <t>10.1002/app.41325</t>
  </si>
  <si>
    <t>Morphology and barrier properties of solvent cast composites of thermoplastic biopolymers and purified cellulose fibers</t>
  </si>
  <si>
    <t>10.1016/j.carbpol.2007.05.041</t>
  </si>
  <si>
    <t>Singh et al.</t>
  </si>
  <si>
    <t>Optimization of cultivation medium and cyclic fed-batch fermentation strategy for enhanced polyhydroxyalkanoate production by Bacillus thuringiensis using a glucose-rich hydrolyzate</t>
  </si>
  <si>
    <t>10.1186/s40643-021-00361-x</t>
  </si>
  <si>
    <t>Adorna et al.</t>
  </si>
  <si>
    <t>Biodegradable polyhydroxybutyrate/cellulose/calcium carbonate bioplastic composites prepared by heat-assisted solution casting method</t>
  </si>
  <si>
    <t>10.1002/app.51645</t>
  </si>
  <si>
    <t>Chiulan et al.</t>
  </si>
  <si>
    <t>Biocompatible polyhydroxyalkanoates/bacterial cellulose composites:Preparation, characterization, and in vitro evaluation</t>
  </si>
  <si>
    <t>10.1002/jbm.a.35800</t>
  </si>
  <si>
    <t>Nerkar et al.</t>
  </si>
  <si>
    <t>Melt Compounded Blends of Short and Medium Chain-Length
Poly-3-hydroxyalkanoates</t>
  </si>
  <si>
    <t>10.1007/s10924-013-0635-6</t>
  </si>
  <si>
    <t>Martelli et al.</t>
  </si>
  <si>
    <t>Obtention and characterization of poly(3-hydroxybutyricacid-co-hydroxyvaleric
acid)/mcl-PHA based blends</t>
  </si>
  <si>
    <t>10.1016/j.lwt.2012.01.036</t>
  </si>
  <si>
    <t>Dufresne et al.</t>
  </si>
  <si>
    <t>Poly(3-hydroxybutyrate) and Poly(3-hydroxyoctanoate) Blends:
Morphology and Mechanical Behavior</t>
  </si>
  <si>
    <t>10.1021/ma991854a</t>
  </si>
  <si>
    <t>Rebocho et al.</t>
  </si>
  <si>
    <t>Preparation and Characterization of Films Based on
a Natural P(3HB)/mcl-PHA Blend Obtained through
the Co-culture of Cupriavidus Necator and
Pseudomonas Citronellolis in Apple Pulp Waste</t>
  </si>
  <si>
    <t>10.3390/bioengineering7020034</t>
  </si>
  <si>
    <t>Tripathi et al.</t>
  </si>
  <si>
    <t>Synthesis of Diblock copolymer poly-3-
hydroxybutyrate -block-poly-3-hydroxyhexanoate
[PHB-b-PHHx] by a β-oxidation weakened
Pseudomonas putida KT2442</t>
  </si>
  <si>
    <t>10.1186/1475-2859-11-44</t>
  </si>
  <si>
    <t>Li et al.</t>
  </si>
  <si>
    <t>Microbial production of polyhydroxyalkanoate block
 copolymer by recombinant Pseudomonas putida</t>
  </si>
  <si>
    <t>10.1007/s00253-010-3069-2</t>
  </si>
  <si>
    <t>Turco et al.</t>
  </si>
  <si>
    <t>Upgrading cardoon biomass into Polyhydroxybutyrate based blends: A 
holistic approach for the synthesis of biopolymers and additives</t>
  </si>
  <si>
    <t>10.1016/j.biortech.2022.127954</t>
  </si>
  <si>
    <t>Basnett et al.</t>
  </si>
  <si>
    <t>Novel Poly(3-hydroxyoctanoate)/Poly(3-hydroxybutyrate) blends
for medical applications</t>
  </si>
  <si>
    <t>10.1016/j.reactfunctpolym.2013.03.019</t>
  </si>
  <si>
    <t>Wu et al.</t>
  </si>
  <si>
    <t>Toughening of poly(3-hydroxybutyrate-co-3-hydroxyvalerate) by phenyl terminated hyperbranched polyesters with higher thermal stability</t>
  </si>
  <si>
    <t>10.1002/app.51551</t>
  </si>
  <si>
    <t>Baraki et al.</t>
  </si>
  <si>
    <t xml:space="preserve">Regenerated chitin reinforced polyhydroxybutyrate composites via 
Pickering emulsion template with improved rheological, thermal, and 
mechanical properties </t>
  </si>
  <si>
    <t xml:space="preserve">10.1016/j.coco.2021.100655 </t>
  </si>
  <si>
    <t>Poly(3-hydroxybutyrate) Modified by Plasma and
TEMPO-Oxidized Celluloses</t>
  </si>
  <si>
    <t>10.3390/polym12071510</t>
  </si>
  <si>
    <t>Effect of acid treatment of eucalyptus fibers for improved poly 
(3-hydroxybutyrate) nanocomposites</t>
  </si>
  <si>
    <t xml:space="preserve">10.1016/j.jmrt.2024.02.010 </t>
  </si>
  <si>
    <t>Chen et al.</t>
  </si>
  <si>
    <t>Effects of ethyl cellulose on the crystallization and mechanical
properties of poly(_x0002_-hydroxybutyrate)</t>
  </si>
  <si>
    <t>10.1016/j.ijbiomac.2016.03.048</t>
  </si>
  <si>
    <t>How surface modification of cellulose nanocrystals affects the
crystallization process of poly (β-hydroxybutyrate)</t>
  </si>
  <si>
    <t>10.1016/j.ijbiomac.2024.134119</t>
  </si>
  <si>
    <t>Poly(3-hydroxybutyrate) Modified by Nanocellulose
and Plasma Treatment for Packaging Applications</t>
  </si>
  <si>
    <t>10.3390/polym10111249</t>
  </si>
  <si>
    <t>Effect of crystallinity on the thermal conductivity
of poly(3-hydroxybutyrate)/BN composites</t>
  </si>
  <si>
    <t>10.1007/s00289-017-2114-z</t>
  </si>
  <si>
    <t>Samaniego-Aguilar et al.</t>
  </si>
  <si>
    <t>In Service Performance of Toughened PHBV/TPU Blends
Obtained by Reactive Extrusion for Injected Parts</t>
  </si>
  <si>
    <t>10.3390/polym14122337</t>
  </si>
  <si>
    <t>Wei et al.</t>
  </si>
  <si>
    <t>Peroxide induced cross-linking by reactive melt processing of two
biopolyesters: Poly(3-hydroxybutyrate) and poly(L-lactic acid) to
improve their melting processability</t>
  </si>
  <si>
    <t>10.1002/APP.41724</t>
  </si>
  <si>
    <t>Designing improved electromagnetic shielding efficacy of
poly(3-hydroxybutyrate-co-3hydroxyvalerate)
nanocomposites foam using carbon nanotubes
and graphene nanoplatelets</t>
  </si>
  <si>
    <t xml:space="preserve"> 10.1002/vnl.22030</t>
  </si>
  <si>
    <t xml:space="preserve"> Sadat-Shojai et al.</t>
  </si>
  <si>
    <t>Nano-hydroxyapatite reinforced polyhydroxybutyrate composites: A comprehensive
study on the structural and in vitro biological properties</t>
  </si>
  <si>
    <t>10.1016/j.msec.2013.02.041</t>
  </si>
  <si>
    <t>Tsukada et al.</t>
  </si>
  <si>
    <t>Physical properties of poly-D(-)(3-hydroxybutyrate)/poly(epichlorohydrin) 
blends</t>
  </si>
  <si>
    <t>10.1002/actp.1992.010430606</t>
  </si>
  <si>
    <t>Ambrosi et al.</t>
  </si>
  <si>
    <t>Non-isothermal crystallization kinetics and morphology of poly(3-
hydroxybutyrate)/pluronic blends</t>
  </si>
  <si>
    <t>10.1016/j.eurpolymj.2019.08.016</t>
  </si>
  <si>
    <t xml:space="preserve"> Isa et al.</t>
  </si>
  <si>
    <t>Mechanical, rheological and thermal
properties of montmorillonite-modified
polyhydroxybutyrate composites</t>
  </si>
  <si>
    <t>10.1177/0954008319899721</t>
  </si>
  <si>
    <t>Vogel et al.</t>
  </si>
  <si>
    <t>Melt Spinning of Poly(3-hydroxybutyrate) Fibers for
Tissue Engineering Using a-Cyclodextrin/Polymer
Inclusion Complexes as the Nucleation Agent</t>
  </si>
  <si>
    <t>10.1002/mabi.200600116</t>
  </si>
  <si>
    <t>Al et al.</t>
  </si>
  <si>
    <t>The effects of PHB-g-MA types on the mechanical, thermal, morphological, 
structural, and rheological properties of polyhydroxybutyrate biopolymers</t>
  </si>
  <si>
    <t xml:space="preserve">10.1016/j.ijbiomac.2024.130745 </t>
  </si>
  <si>
    <t>Das et al.</t>
  </si>
  <si>
    <t>Comparative evaluation of physico-chemical characteristics of
biopolyesters P(3HB) and P(3HB-co-3HV) produced by endophytic
Bacillus cereus RCL 02</t>
  </si>
  <si>
    <t>10.1007/s11515-018-1509-z</t>
  </si>
  <si>
    <t>Abbreviations</t>
  </si>
  <si>
    <t>organomodified montmorillonite</t>
  </si>
  <si>
    <t>dioctyl phthalate</t>
  </si>
  <si>
    <t>epoxidized soybean oil</t>
  </si>
  <si>
    <t>triethyl citrate</t>
  </si>
  <si>
    <t>Acetyl Tributyl Citrate</t>
  </si>
  <si>
    <t>soybean oil</t>
  </si>
  <si>
    <t>dioctyl sebacate</t>
  </si>
  <si>
    <t>Acid-insoluble lignin</t>
  </si>
  <si>
    <t>Holocellulose</t>
  </si>
  <si>
    <t>lignocellulosic biowaste</t>
  </si>
  <si>
    <t>extractive-free solid residue after toluene/ethanol extraction</t>
  </si>
  <si>
    <t>extractive-free solid residue after water extraction</t>
  </si>
  <si>
    <t>microfibrillated cellulose</t>
  </si>
  <si>
    <t>epoxy-based styrene-acrylic oligomer</t>
  </si>
  <si>
    <t>triglycidyl isocyanurate</t>
  </si>
  <si>
    <t>dicumyl peroxide</t>
  </si>
  <si>
    <t>cellulose fiber</t>
  </si>
  <si>
    <t>dibutyl phthalate</t>
  </si>
  <si>
    <t>epoxidized linseed oil</t>
  </si>
  <si>
    <t>poly(propylene-glycol) 400g/mol</t>
  </si>
  <si>
    <t>poly(propylene-glycol) 1000g/mol</t>
  </si>
  <si>
    <t>castor oil</t>
  </si>
  <si>
    <t>Curaua fiber</t>
  </si>
  <si>
    <t>Curaua fiber treated with hot water and mercerized</t>
  </si>
  <si>
    <t>Curaua fiber treated with NaClo and mercerized</t>
  </si>
  <si>
    <t>Cerium oxide nanoparticles</t>
  </si>
  <si>
    <t>oregano essential oil</t>
  </si>
  <si>
    <t>rosemary extract</t>
  </si>
  <si>
    <t>Green tea extract</t>
  </si>
  <si>
    <t>medium-sized bits (some leaves, some wood)</t>
  </si>
  <si>
    <t>GARDEN</t>
  </si>
  <si>
    <t>fine dusty stuff (mostly small bits + soil)</t>
  </si>
  <si>
    <t>WASTE</t>
  </si>
  <si>
    <t>the mix that mimics the unsorted waste</t>
  </si>
  <si>
    <t>Kraft lignin</t>
  </si>
  <si>
    <t>hybrid lignin nanoparticles</t>
  </si>
  <si>
    <t>lignin butyrate</t>
  </si>
  <si>
    <t>Cyanuric acid</t>
  </si>
  <si>
    <t>Boron nitride</t>
  </si>
  <si>
    <t>Orotic Acid</t>
  </si>
  <si>
    <t>AC</t>
  </si>
  <si>
    <t>Acetic anyhydride</t>
  </si>
  <si>
    <t>PR</t>
  </si>
  <si>
    <t>Propionic anyhydride</t>
  </si>
  <si>
    <t>BU</t>
  </si>
  <si>
    <t>Butyric anyhydride</t>
  </si>
  <si>
    <t>HE</t>
  </si>
  <si>
    <t>Hexanoic anyhydride</t>
  </si>
  <si>
    <t>Indulin AT (Kraft) lignin</t>
  </si>
  <si>
    <t>Acetic anhydride</t>
  </si>
  <si>
    <t>Propionic anhydride</t>
  </si>
  <si>
    <t>Butyric anhydride</t>
  </si>
  <si>
    <t>Hexanoic anhydride</t>
  </si>
  <si>
    <t>Protobind 1000 (Soda) lignin</t>
  </si>
  <si>
    <t>Untreated Almond Shell</t>
  </si>
  <si>
    <t>Treated Almond Shell</t>
  </si>
  <si>
    <t>Untreated Rice Husk</t>
  </si>
  <si>
    <t>Treated Rice Husk</t>
  </si>
  <si>
    <t>TC90</t>
  </si>
  <si>
    <t>Commercial α-cellulose</t>
  </si>
  <si>
    <t>LLR</t>
  </si>
  <si>
    <t>Lignin rich residue~56% lignin + polysaccharides (e.g., cellulose)</t>
  </si>
  <si>
    <t>Epoxy soyate</t>
  </si>
  <si>
    <t>Polyethylene glycol 1000</t>
  </si>
  <si>
    <t>Propylene glycol</t>
  </si>
  <si>
    <t>lignocellulosic fiber</t>
  </si>
  <si>
    <t>calcium carbonate</t>
  </si>
  <si>
    <t>Bacterial cellulose</t>
  </si>
  <si>
    <t xml:space="preserve">Epoxidized cardoon oil </t>
  </si>
  <si>
    <t>ChNCs</t>
  </si>
  <si>
    <t>Chitin nanocrystals</t>
  </si>
  <si>
    <t>ChNFs</t>
  </si>
  <si>
    <t>chitin nanofibers</t>
  </si>
  <si>
    <t>regenerated chitin</t>
  </si>
  <si>
    <t>Microcrystalline cellulose</t>
  </si>
  <si>
    <t>TEMPO oxidized MCC</t>
  </si>
  <si>
    <t>Plasma treated MCC</t>
  </si>
  <si>
    <t xml:space="preserve">eucalyptus cellulose fibers </t>
  </si>
  <si>
    <t>Ethyl cellulose</t>
  </si>
  <si>
    <t>Cellulose nanocrystal</t>
  </si>
  <si>
    <t>Cellulose nanocrystal modified with Lactic acid</t>
  </si>
  <si>
    <t>Cellulose nanocrystal modified with caprolactone</t>
  </si>
  <si>
    <t>ZnO</t>
  </si>
  <si>
    <t>zinc oxide</t>
  </si>
  <si>
    <t>tributyl citrate</t>
  </si>
  <si>
    <t>plasma-treated nanocomposites</t>
  </si>
  <si>
    <t>boron nitride</t>
  </si>
  <si>
    <t>Thermoplastic polyurethane</t>
  </si>
  <si>
    <t xml:space="preserve"> hexamethylene diisocyanate</t>
  </si>
  <si>
    <t>carbon nanotubes</t>
  </si>
  <si>
    <t>graphene nanoplatets</t>
  </si>
  <si>
    <t>hydroxyapatite</t>
  </si>
  <si>
    <t>poly(epichlorohydrin)</t>
  </si>
  <si>
    <t xml:space="preserve">pluronic  </t>
  </si>
  <si>
    <t xml:space="preserve">pluronic </t>
  </si>
  <si>
    <t>Acid-treated  MMT (montmorillonite)</t>
  </si>
  <si>
    <t xml:space="preserve"> acid-untreated MMT (montmorillonite)</t>
  </si>
  <si>
    <t>ICs</t>
  </si>
  <si>
    <t>Supramolecular crystalline inclusion complexes</t>
  </si>
  <si>
    <t>a-cyclodextrin</t>
  </si>
  <si>
    <t>Crystallinity %</t>
  </si>
  <si>
    <t>Row No</t>
  </si>
  <si>
    <t>Experimental Dataset from ANIPH program (CETEC)</t>
  </si>
  <si>
    <t>HB_ratio (mol%)</t>
  </si>
  <si>
    <t>HV_ratio (mol%)</t>
  </si>
  <si>
    <t>final_formulation_PHBV_percentage (wt%)</t>
  </si>
  <si>
    <t>Additive1_percentage (wt%)</t>
  </si>
  <si>
    <t>Additive2_percentage (wt%)</t>
  </si>
  <si>
    <t>titanium dioxide</t>
  </si>
  <si>
    <t xml:space="preserve">montmorillonite </t>
  </si>
  <si>
    <t>organically modified montmorillonite Cloisite® 30B</t>
  </si>
  <si>
    <t>Montmorillonite Modified with Triethylene Glycol Mono-n-decyl Ether</t>
  </si>
  <si>
    <t>citric_acid</t>
  </si>
  <si>
    <r>
      <t>Graphene Oxide</t>
    </r>
    <r>
      <rPr>
        <sz val="11"/>
        <color theme="1"/>
        <rFont val="Aptos Narrow"/>
        <family val="2"/>
        <scheme val="minor"/>
      </rPr>
      <t>.</t>
    </r>
  </si>
  <si>
    <t>antimicrobial nanocellulose/enzymatically-synthesized cellulose</t>
  </si>
  <si>
    <t>ESBO</t>
  </si>
  <si>
    <t xml:space="preserve"> epoxidized linseed oil </t>
  </si>
  <si>
    <t>PPGs</t>
  </si>
  <si>
    <t xml:space="preserve"> poly(propylene glycol)s</t>
  </si>
  <si>
    <t>Biofunctional and enviromental additives</t>
  </si>
  <si>
    <t>Reinforcment and stiffening modifiers</t>
  </si>
  <si>
    <t>Plasticizers and flexibility enhancers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</si>
</sst>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.m"/>
    <numFmt numFmtId="166" formatCode="0.0000"/>
  </numFmts>
  <fonts count="3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&quot;Ȫptos Narrow\&quot;&quot;"/>
    </font>
    <font>
      <b/>
      <sz val="11"/>
      <color rgb="FF000000"/>
      <name val="&quot;Aptos Narrow&quot;"/>
    </font>
    <font>
      <sz val="9"/>
      <color theme="1"/>
      <name val="Helvetica Neue"/>
    </font>
    <font>
      <sz val="11"/>
      <color rgb="FF333333"/>
      <name val="Helvetica Neue"/>
    </font>
    <font>
      <sz val="11"/>
      <color rgb="FF333333"/>
      <name val="Georgia"/>
    </font>
    <font>
      <u/>
      <sz val="11"/>
      <color rgb="FF0000FF"/>
      <name val="&quot;Aptos Narrow&quot;"/>
    </font>
    <font>
      <u/>
      <sz val="11"/>
      <color rgb="FF467886"/>
      <name val="Arial"/>
    </font>
    <font>
      <u/>
      <sz val="11"/>
      <color rgb="FF000000"/>
      <name val="Arial"/>
    </font>
    <font>
      <u/>
      <sz val="11"/>
      <color rgb="FF000000"/>
      <name val="Aptos Narrow"/>
    </font>
    <font>
      <u/>
      <sz val="11"/>
      <color rgb="FF0000FF"/>
      <name val="Aptos Narrow"/>
    </font>
    <font>
      <b/>
      <sz val="12"/>
      <color theme="1"/>
      <name val="Arial"/>
    </font>
    <font>
      <u/>
      <sz val="11"/>
      <color rgb="FF1155CC"/>
      <name val="&quot;Aptos Narrow&quot;"/>
    </font>
    <font>
      <u/>
      <sz val="11"/>
      <color rgb="FF1155CC"/>
      <name val="Aptos Narrow"/>
    </font>
    <font>
      <b/>
      <sz val="11"/>
      <color theme="1"/>
      <name val="Aptos Narrow"/>
      <scheme val="minor"/>
    </font>
    <font>
      <sz val="11"/>
      <color rgb="FF000000"/>
      <name val="Aptos Narrow"/>
      <charset val="1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61"/>
    </font>
    <font>
      <sz val="11"/>
      <color theme="1"/>
      <name val="Arial"/>
      <family val="2"/>
      <charset val="16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4E291"/>
        <bgColor rgb="FF84E291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EA9999"/>
      </patternFill>
    </fill>
    <fill>
      <patternFill patternType="solid">
        <fgColor rgb="FFFFC000"/>
        <bgColor rgb="FF00FF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C000"/>
        <bgColor rgb="FF33CCCC"/>
      </patternFill>
    </fill>
    <fill>
      <patternFill patternType="solid">
        <fgColor rgb="FF00B050"/>
        <bgColor rgb="FFF6F8F9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6F8F9"/>
      </left>
      <right style="thin">
        <color rgb="FFF6F8F9"/>
      </right>
      <top style="medium">
        <color rgb="FF000000"/>
      </top>
      <bottom style="medium">
        <color rgb="FF000000"/>
      </bottom>
      <diagonal/>
    </border>
    <border>
      <left style="thin">
        <color rgb="FFF6F8F9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medium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medium">
        <color rgb="FF000000"/>
      </bottom>
      <diagonal/>
    </border>
    <border>
      <left style="thin">
        <color rgb="FFF6F8F9"/>
      </left>
      <right style="medium">
        <color rgb="FF000000"/>
      </right>
      <top style="thin">
        <color rgb="FFF6F8F9"/>
      </top>
      <bottom style="medium">
        <color rgb="FF000000"/>
      </bottom>
      <diagonal/>
    </border>
    <border>
      <left style="thin">
        <color rgb="FFF6F8F9"/>
      </left>
      <right style="thin">
        <color rgb="FFF6F8F9"/>
      </right>
      <top style="medium">
        <color rgb="FF000000"/>
      </top>
      <bottom style="thin">
        <color rgb="FFF6F8F9"/>
      </bottom>
      <diagonal/>
    </border>
    <border>
      <left style="thin">
        <color rgb="FFF6F8F9"/>
      </left>
      <right style="medium">
        <color rgb="FF000000"/>
      </right>
      <top style="medium">
        <color rgb="FF000000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284E3F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284E3F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xfId="0"/>
    <xf numFmtId="1" fontId="6" fillId="0" borderId="4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/>
    <xf numFmtId="0" fontId="5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1" fontId="8" fillId="0" borderId="11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6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9" fillId="0" borderId="0" xfId="0" applyFont="1"/>
    <xf numFmtId="0" fontId="9" fillId="0" borderId="11" xfId="0" applyFont="1" applyBorder="1"/>
    <xf numFmtId="0" fontId="9" fillId="0" borderId="6" xfId="0" applyFont="1" applyBorder="1"/>
    <xf numFmtId="0" fontId="8" fillId="0" borderId="0" xfId="0" applyFont="1" applyAlignment="1">
      <alignment horizontal="right"/>
    </xf>
    <xf numFmtId="0" fontId="8" fillId="0" borderId="11" xfId="0" applyFont="1" applyBorder="1"/>
    <xf numFmtId="0" fontId="4" fillId="0" borderId="9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1" fontId="8" fillId="0" borderId="4" xfId="0" applyNumberFormat="1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4" fillId="0" borderId="5" xfId="0" applyFont="1" applyBorder="1"/>
    <xf numFmtId="0" fontId="6" fillId="0" borderId="11" xfId="0" applyFont="1" applyBorder="1" applyAlignment="1">
      <alignment horizontal="center"/>
    </xf>
    <xf numFmtId="0" fontId="4" fillId="0" borderId="9" xfId="0" applyFont="1" applyBorder="1"/>
    <xf numFmtId="0" fontId="3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4" fillId="6" borderId="0" xfId="0" applyFont="1" applyFill="1"/>
    <xf numFmtId="0" fontId="5" fillId="4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4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2" fontId="7" fillId="2" borderId="29" xfId="0" applyNumberFormat="1" applyFont="1" applyFill="1" applyBorder="1" applyAlignment="1">
      <alignment horizontal="center" vertical="center"/>
    </xf>
    <xf numFmtId="2" fontId="5" fillId="2" borderId="29" xfId="0" applyNumberFormat="1" applyFont="1" applyFill="1" applyBorder="1" applyAlignment="1">
      <alignment horizontal="center" vertical="center"/>
    </xf>
    <xf numFmtId="2" fontId="7" fillId="5" borderId="31" xfId="0" applyNumberFormat="1" applyFont="1" applyFill="1" applyBorder="1" applyAlignment="1">
      <alignment horizontal="center" vertical="center"/>
    </xf>
    <xf numFmtId="2" fontId="5" fillId="5" borderId="31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2" fontId="7" fillId="2" borderId="31" xfId="0" applyNumberFormat="1" applyFont="1" applyFill="1" applyBorder="1" applyAlignment="1">
      <alignment horizontal="center" vertical="center"/>
    </xf>
    <xf numFmtId="2" fontId="5" fillId="2" borderId="23" xfId="0" applyNumberFormat="1" applyFont="1" applyFill="1" applyBorder="1" applyAlignment="1">
      <alignment horizontal="center" vertical="center"/>
    </xf>
    <xf numFmtId="2" fontId="5" fillId="2" borderId="31" xfId="0" applyNumberFormat="1" applyFont="1" applyFill="1" applyBorder="1" applyAlignment="1">
      <alignment horizontal="center" vertical="center"/>
    </xf>
    <xf numFmtId="2" fontId="5" fillId="2" borderId="27" xfId="0" applyNumberFormat="1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0" borderId="7" xfId="0" applyFont="1" applyBorder="1"/>
    <xf numFmtId="0" fontId="5" fillId="0" borderId="5" xfId="0" applyFont="1" applyBorder="1"/>
    <xf numFmtId="0" fontId="10" fillId="3" borderId="11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5" fillId="5" borderId="25" xfId="0" applyNumberFormat="1" applyFont="1" applyFill="1" applyBorder="1" applyAlignment="1">
      <alignment horizontal="center" vertical="center"/>
    </xf>
    <xf numFmtId="2" fontId="5" fillId="5" borderId="21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4" fillId="0" borderId="0" xfId="0" applyFont="1"/>
    <xf numFmtId="0" fontId="3" fillId="3" borderId="13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2" fontId="5" fillId="0" borderId="12" xfId="0" applyNumberFormat="1" applyFont="1" applyBorder="1" applyAlignment="1">
      <alignment horizontal="center" vertical="center"/>
    </xf>
    <xf numFmtId="2" fontId="7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1" fontId="5" fillId="0" borderId="10" xfId="0" applyNumberFormat="1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8" fillId="0" borderId="37" xfId="0" applyFont="1" applyBorder="1"/>
    <xf numFmtId="0" fontId="2" fillId="3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2" xfId="0" applyFont="1" applyBorder="1"/>
    <xf numFmtId="0" fontId="8" fillId="4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0" fontId="6" fillId="0" borderId="10" xfId="0" applyFont="1" applyBorder="1" applyAlignment="1">
      <alignment horizontal="center"/>
    </xf>
    <xf numFmtId="0" fontId="7" fillId="0" borderId="7" xfId="0" applyFont="1" applyBorder="1"/>
    <xf numFmtId="0" fontId="3" fillId="3" borderId="14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164" fontId="7" fillId="0" borderId="37" xfId="0" applyNumberFormat="1" applyFont="1" applyBorder="1" applyAlignment="1">
      <alignment horizontal="center"/>
    </xf>
    <xf numFmtId="1" fontId="5" fillId="0" borderId="37" xfId="0" applyNumberFormat="1" applyFont="1" applyBorder="1"/>
    <xf numFmtId="2" fontId="7" fillId="0" borderId="37" xfId="0" applyNumberFormat="1" applyFont="1" applyBorder="1" applyAlignment="1">
      <alignment horizontal="center"/>
    </xf>
    <xf numFmtId="2" fontId="5" fillId="0" borderId="37" xfId="0" applyNumberFormat="1" applyFont="1" applyBorder="1"/>
    <xf numFmtId="0" fontId="4" fillId="0" borderId="37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7" fillId="0" borderId="7" xfId="0" applyFont="1" applyBorder="1" applyAlignment="1">
      <alignment horizontal="center"/>
    </xf>
    <xf numFmtId="0" fontId="4" fillId="0" borderId="12" xfId="0" applyFont="1" applyBorder="1"/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10" xfId="0" applyFont="1" applyBorder="1"/>
    <xf numFmtId="0" fontId="7" fillId="0" borderId="0" xfId="0" applyFont="1"/>
    <xf numFmtId="0" fontId="5" fillId="4" borderId="12" xfId="0" applyFont="1" applyFill="1" applyBorder="1" applyAlignment="1">
      <alignment horizontal="center"/>
    </xf>
    <xf numFmtId="0" fontId="5" fillId="0" borderId="12" xfId="0" applyFont="1" applyBorder="1"/>
    <xf numFmtId="0" fontId="10" fillId="3" borderId="10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4" fillId="0" borderId="37" xfId="0" applyFont="1" applyBorder="1"/>
    <xf numFmtId="0" fontId="7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11" fontId="7" fillId="0" borderId="10" xfId="0" applyNumberFormat="1" applyFont="1" applyBorder="1" applyAlignment="1">
      <alignment horizontal="center"/>
    </xf>
    <xf numFmtId="11" fontId="7" fillId="0" borderId="0" xfId="0" applyNumberFormat="1" applyFont="1" applyAlignment="1">
      <alignment horizontal="center"/>
    </xf>
    <xf numFmtId="11" fontId="7" fillId="0" borderId="12" xfId="0" applyNumberFormat="1" applyFont="1" applyBorder="1" applyAlignment="1">
      <alignment horizontal="center"/>
    </xf>
    <xf numFmtId="11" fontId="7" fillId="0" borderId="37" xfId="0" applyNumberFormat="1" applyFont="1" applyBorder="1" applyAlignment="1">
      <alignment horizontal="center"/>
    </xf>
    <xf numFmtId="0" fontId="7" fillId="0" borderId="12" xfId="0" applyFont="1" applyBorder="1"/>
    <xf numFmtId="166" fontId="7" fillId="0" borderId="0" xfId="0" applyNumberFormat="1" applyFont="1" applyAlignment="1">
      <alignment horizontal="center"/>
    </xf>
    <xf numFmtId="2" fontId="7" fillId="0" borderId="7" xfId="0" applyNumberFormat="1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/>
    <xf numFmtId="4" fontId="7" fillId="0" borderId="37" xfId="0" applyNumberFormat="1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9" fillId="0" borderId="12" xfId="0" applyFont="1" applyBorder="1"/>
    <xf numFmtId="0" fontId="7" fillId="0" borderId="10" xfId="0" applyFont="1" applyBorder="1"/>
    <xf numFmtId="0" fontId="7" fillId="0" borderId="9" xfId="0" applyFont="1" applyBorder="1"/>
    <xf numFmtId="0" fontId="0" fillId="0" borderId="0" xfId="0" applyAlignment="1">
      <alignment horizontal="center"/>
    </xf>
    <xf numFmtId="0" fontId="0" fillId="0" borderId="12" xfId="0" applyBorder="1"/>
    <xf numFmtId="2" fontId="7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38" xfId="0" applyFont="1" applyBorder="1"/>
    <xf numFmtId="2" fontId="7" fillId="0" borderId="6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6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38" xfId="0" applyFont="1" applyBorder="1" applyAlignment="1">
      <alignment horizontal="center"/>
    </xf>
    <xf numFmtId="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38" xfId="0" applyBorder="1"/>
    <xf numFmtId="0" fontId="7" fillId="0" borderId="11" xfId="0" applyFont="1" applyBorder="1" applyAlignment="1">
      <alignment horizontal="center" vertical="center"/>
    </xf>
    <xf numFmtId="0" fontId="7" fillId="0" borderId="6" xfId="0" applyFont="1" applyBorder="1"/>
    <xf numFmtId="0" fontId="7" fillId="0" borderId="11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0" fillId="0" borderId="39" xfId="0" applyBorder="1"/>
    <xf numFmtId="0" fontId="0" fillId="0" borderId="11" xfId="0" applyBorder="1"/>
    <xf numFmtId="0" fontId="0" fillId="0" borderId="42" xfId="0" applyBorder="1"/>
    <xf numFmtId="0" fontId="7" fillId="0" borderId="1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22" fillId="8" borderId="4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22" fillId="8" borderId="44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0" fontId="0" fillId="0" borderId="41" xfId="0" applyBorder="1"/>
    <xf numFmtId="0" fontId="3" fillId="3" borderId="43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3" fillId="3" borderId="11" xfId="0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0" fillId="0" borderId="41" xfId="0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12" xfId="0" applyNumberFormat="1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3" borderId="10" xfId="0" applyFont="1" applyFill="1" applyBorder="1" applyAlignment="1">
      <alignment horizontal="center"/>
    </xf>
    <xf numFmtId="0" fontId="8" fillId="13" borderId="0" xfId="0" applyFont="1" applyFill="1" applyAlignment="1">
      <alignment horizontal="center"/>
    </xf>
    <xf numFmtId="0" fontId="8" fillId="13" borderId="12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37" xfId="0" applyFont="1" applyFill="1" applyBorder="1" applyAlignment="1">
      <alignment horizontal="center"/>
    </xf>
    <xf numFmtId="0" fontId="8" fillId="0" borderId="47" xfId="0" applyFont="1" applyBorder="1"/>
    <xf numFmtId="2" fontId="5" fillId="0" borderId="47" xfId="0" applyNumberFormat="1" applyFont="1" applyBorder="1" applyAlignment="1">
      <alignment horizontal="center" vertical="center"/>
    </xf>
    <xf numFmtId="0" fontId="3" fillId="14" borderId="0" xfId="0" applyFont="1" applyFill="1" applyAlignment="1">
      <alignment horizontal="center"/>
    </xf>
    <xf numFmtId="0" fontId="5" fillId="0" borderId="48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1" fontId="5" fillId="0" borderId="49" xfId="0" applyNumberFormat="1" applyFont="1" applyBorder="1" applyAlignment="1">
      <alignment horizontal="center" vertical="center"/>
    </xf>
    <xf numFmtId="1" fontId="5" fillId="0" borderId="50" xfId="0" applyNumberFormat="1" applyFont="1" applyBorder="1" applyAlignment="1">
      <alignment horizontal="center" vertical="center"/>
    </xf>
    <xf numFmtId="0" fontId="7" fillId="0" borderId="49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0" fillId="16" borderId="0" xfId="0" applyFill="1"/>
    <xf numFmtId="0" fontId="24" fillId="15" borderId="0" xfId="0" applyFont="1" applyFill="1" applyAlignment="1">
      <alignment horizontal="center" vertical="center"/>
    </xf>
    <xf numFmtId="164" fontId="5" fillId="0" borderId="49" xfId="0" applyNumberFormat="1" applyFont="1" applyBorder="1" applyAlignment="1">
      <alignment horizontal="center" vertical="center"/>
    </xf>
    <xf numFmtId="0" fontId="0" fillId="0" borderId="47" xfId="0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10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4" fillId="0" borderId="4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9" fillId="0" borderId="3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12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47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30" fillId="15" borderId="2" xfId="0" applyFont="1" applyFill="1" applyBorder="1" applyAlignment="1">
      <alignment horizontal="center" vertical="center"/>
    </xf>
    <xf numFmtId="2" fontId="24" fillId="0" borderId="12" xfId="0" applyNumberFormat="1" applyFont="1" applyBorder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2" fontId="24" fillId="0" borderId="37" xfId="0" applyNumberFormat="1" applyFont="1" applyBorder="1" applyAlignment="1">
      <alignment horizontal="center" vertical="center"/>
    </xf>
    <xf numFmtId="2" fontId="24" fillId="0" borderId="10" xfId="0" applyNumberFormat="1" applyFont="1" applyBorder="1" applyAlignment="1">
      <alignment horizontal="center" vertical="center"/>
    </xf>
  </cellXfs>
  <cellStyles count="1">
    <cellStyle name="Κανονικό" xfId="0" builtinId="0"/>
  </cellStyles>
  <dxfs count="15"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</font>
    </dxf>
    <dxf>
      <font>
        <name val="Arial"/>
        <scheme val="none"/>
      </font>
      <alignment horizontal="center" vertical="bottom" textRotation="0" wrapText="0" indent="0" justifyLastLine="0" shrinkToFit="0" readingOrder="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495ADC-E3B3-4095-BC35-53F9E8961E5D}" name="Table_39" displayName="Table_39" ref="S487:S488" headerRowCount="0" headerRowDxfId="14" dataDxfId="13" totalsRowDxfId="12">
  <tableColumns count="1">
    <tableColumn id="1" xr3:uid="{E8CE6A1D-8316-4A9E-B18D-8542DDB81695}" name="Column1" dataDxfId="11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41C99-A32C-406B-8AB0-C058FFAF28AB}" name="Table_40" displayName="Table_40" ref="E495:H495" headerRowCount="0" headerRowDxfId="10" dataDxfId="9" totalsRowDxfId="8">
  <tableColumns count="4">
    <tableColumn id="1" xr3:uid="{2A4BDCFB-1BD6-46B1-B3F8-3DA4110CEF9C}" name="Column1" dataDxfId="7"/>
    <tableColumn id="2" xr3:uid="{E31A232E-CFDF-415E-8173-8334ACB7F6C7}" name="Column2" dataDxfId="6"/>
    <tableColumn id="3" xr3:uid="{A0575901-A87D-4DAC-B883-493F8A5C091D}" name="Column3" dataDxfId="5"/>
    <tableColumn id="4" xr3:uid="{74406B12-4783-45BB-82D6-33DB62089363}" name="Column4" dataDxfId="4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A1698-8EC3-41D6-98FE-89FB2286BC14}" name="Table_41" displayName="Table_41" ref="S495:S496" headerRowCount="0" headerRowDxfId="3" dataDxfId="2" totalsRowDxfId="1">
  <tableColumns count="1">
    <tableColumn id="1" xr3:uid="{C221C7AB-1CF3-41D5-A189-482996C2D454}" name="Column1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ijbiomac.2020.02.080" TargetMode="External"/><Relationship Id="rId13" Type="http://schemas.openxmlformats.org/officeDocument/2006/relationships/hyperlink" Target="https://doi.org/10.1016/j.indcrop.2024.120336" TargetMode="External"/><Relationship Id="rId18" Type="http://schemas.openxmlformats.org/officeDocument/2006/relationships/hyperlink" Target="https://doi.org/10.1016/j.ymben.2025.02.009" TargetMode="External"/><Relationship Id="rId3" Type="http://schemas.openxmlformats.org/officeDocument/2006/relationships/hyperlink" Target="http://dx.doi.org/10.1016/j.eurpolymj.2016.01.024" TargetMode="External"/><Relationship Id="rId21" Type="http://schemas.openxmlformats.org/officeDocument/2006/relationships/hyperlink" Target="https://doi.org/10.1186/s40643-021-00361-x" TargetMode="External"/><Relationship Id="rId7" Type="http://schemas.openxmlformats.org/officeDocument/2006/relationships/hyperlink" Target="https://doi.org/10.1021/acs.biomac.1c00353" TargetMode="External"/><Relationship Id="rId12" Type="http://schemas.openxmlformats.org/officeDocument/2006/relationships/hyperlink" Target="https://doi.org/10.1016/j.ijbiomac.2020.10.156" TargetMode="External"/><Relationship Id="rId17" Type="http://schemas.openxmlformats.org/officeDocument/2006/relationships/hyperlink" Target="http://dx.doi.org/10.1016/j.ijbiomac.2014.07.038" TargetMode="External"/><Relationship Id="rId2" Type="http://schemas.openxmlformats.org/officeDocument/2006/relationships/hyperlink" Target="https://doi.org/10.1016/j.msec.2017.05.138" TargetMode="External"/><Relationship Id="rId16" Type="http://schemas.openxmlformats.org/officeDocument/2006/relationships/hyperlink" Target="http://doi.org/10.3390/polym15030697" TargetMode="External"/><Relationship Id="rId20" Type="http://schemas.openxmlformats.org/officeDocument/2006/relationships/hyperlink" Target="http://dx.doi.org/10.1016/j.eurpolymj.2015.04.012" TargetMode="External"/><Relationship Id="rId1" Type="http://schemas.openxmlformats.org/officeDocument/2006/relationships/hyperlink" Target="https://doi.org/10.1016/j.apsusc.2018.06.239" TargetMode="External"/><Relationship Id="rId6" Type="http://schemas.openxmlformats.org/officeDocument/2006/relationships/hyperlink" Target="https://doi.org/10.1016/j.polymdegradstab.2025.111176" TargetMode="External"/><Relationship Id="rId11" Type="http://schemas.openxmlformats.org/officeDocument/2006/relationships/hyperlink" Target="https://doi.org/10.1002/(SICI)1097-0126(199908)48:8%3C705::AID-PI205%3E3.0.CO;2-P" TargetMode="External"/><Relationship Id="rId5" Type="http://schemas.openxmlformats.org/officeDocument/2006/relationships/hyperlink" Target="https://doi.org/10.1016/j.indcrop.2019.112071" TargetMode="External"/><Relationship Id="rId15" Type="http://schemas.openxmlformats.org/officeDocument/2006/relationships/hyperlink" Target="http://dx.doi.org/10.1016/j.indcrop.2016.12.024" TargetMode="External"/><Relationship Id="rId10" Type="http://schemas.openxmlformats.org/officeDocument/2006/relationships/hyperlink" Target="https://doi.org/10.1016/j.wasman.2020.10.018" TargetMode="External"/><Relationship Id="rId19" Type="http://schemas.openxmlformats.org/officeDocument/2006/relationships/hyperlink" Target="https://doi.org/10.1016/j.fpsl.2025.101454" TargetMode="External"/><Relationship Id="rId4" Type="http://schemas.openxmlformats.org/officeDocument/2006/relationships/hyperlink" Target="https://doi.org/10.3390/app12042111" TargetMode="External"/><Relationship Id="rId9" Type="http://schemas.openxmlformats.org/officeDocument/2006/relationships/hyperlink" Target="https://doi.org/10.3390/ijms232214079" TargetMode="External"/><Relationship Id="rId14" Type="http://schemas.openxmlformats.org/officeDocument/2006/relationships/hyperlink" Target="https://doi.org/10.1016/j.ijbiomac.2023.125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8"/>
  <sheetViews>
    <sheetView tabSelected="1" zoomScale="70" zoomScaleNormal="70" workbookViewId="0">
      <pane ySplit="1" topLeftCell="A93" activePane="bottomLeft" state="frozen"/>
      <selection activeCell="P604" sqref="P604"/>
      <selection pane="bottomLeft" activeCell="R89" sqref="R89"/>
    </sheetView>
  </sheetViews>
  <sheetFormatPr defaultColWidth="12.5703125" defaultRowHeight="15" customHeight="1"/>
  <cols>
    <col min="1" max="1" width="13.28515625" customWidth="1"/>
    <col min="2" max="2" width="13.140625" customWidth="1"/>
    <col min="3" max="4" width="16.140625" customWidth="1"/>
    <col min="5" max="6" width="20.140625" bestFit="1" customWidth="1"/>
    <col min="7" max="8" width="14.85546875" customWidth="1"/>
    <col min="9" max="9" width="9.42578125" customWidth="1"/>
    <col min="10" max="10" width="13" customWidth="1"/>
    <col min="11" max="11" width="9.42578125" customWidth="1"/>
    <col min="12" max="12" width="12.7109375" customWidth="1"/>
    <col min="13" max="13" width="38.140625" style="334" bestFit="1" customWidth="1"/>
    <col min="14" max="14" width="19.42578125" customWidth="1"/>
    <col min="15" max="15" width="32" bestFit="1" customWidth="1"/>
    <col min="16" max="16" width="15.85546875" bestFit="1" customWidth="1"/>
    <col min="17" max="17" width="38.140625" style="334" bestFit="1" customWidth="1"/>
    <col min="18" max="18" width="19.42578125" customWidth="1"/>
    <col min="19" max="19" width="24.42578125" customWidth="1"/>
    <col min="20" max="20" width="44.28515625" style="229" bestFit="1" customWidth="1"/>
  </cols>
  <sheetData>
    <row r="1" spans="1:22" s="325" customFormat="1" ht="15.75" thickBot="1">
      <c r="A1" s="320" t="s">
        <v>0</v>
      </c>
      <c r="B1" s="321" t="s">
        <v>1</v>
      </c>
      <c r="C1" s="321" t="s">
        <v>2</v>
      </c>
      <c r="D1" s="321" t="s">
        <v>3</v>
      </c>
      <c r="E1" s="321" t="s">
        <v>671</v>
      </c>
      <c r="F1" s="321" t="s">
        <v>672</v>
      </c>
      <c r="G1" s="322" t="s">
        <v>4</v>
      </c>
      <c r="H1" s="323" t="s">
        <v>5</v>
      </c>
      <c r="I1" s="323" t="s">
        <v>6</v>
      </c>
      <c r="J1" s="323" t="s">
        <v>7</v>
      </c>
      <c r="K1" s="321" t="s">
        <v>8</v>
      </c>
      <c r="L1" s="321" t="s">
        <v>9</v>
      </c>
      <c r="M1" s="357" t="s">
        <v>10</v>
      </c>
      <c r="N1" s="321" t="s">
        <v>11</v>
      </c>
      <c r="O1" s="321" t="s">
        <v>674</v>
      </c>
      <c r="P1" s="321" t="s">
        <v>12</v>
      </c>
      <c r="Q1" s="357" t="s">
        <v>13</v>
      </c>
      <c r="R1" s="321" t="s">
        <v>14</v>
      </c>
      <c r="S1" s="321" t="s">
        <v>675</v>
      </c>
      <c r="T1" s="324" t="s">
        <v>673</v>
      </c>
      <c r="V1" s="326" t="s">
        <v>669</v>
      </c>
    </row>
    <row r="2" spans="1:22" ht="15.75" thickBot="1">
      <c r="A2" s="140">
        <v>1</v>
      </c>
      <c r="B2" s="121">
        <v>1</v>
      </c>
      <c r="C2" s="141" t="s">
        <v>15</v>
      </c>
      <c r="D2" s="141"/>
      <c r="E2" s="142">
        <v>100</v>
      </c>
      <c r="F2" s="142">
        <f t="shared" ref="F2:F53" si="0">100-E2</f>
        <v>0</v>
      </c>
      <c r="G2" s="1">
        <v>1623000</v>
      </c>
      <c r="H2" s="143">
        <v>1345000</v>
      </c>
      <c r="I2" s="144"/>
      <c r="J2" s="144"/>
      <c r="K2" s="144">
        <v>1.22</v>
      </c>
      <c r="L2" s="145" t="s">
        <v>16</v>
      </c>
      <c r="M2" s="358"/>
      <c r="N2" s="146"/>
      <c r="O2" s="146"/>
      <c r="P2" s="145" t="s">
        <v>16</v>
      </c>
      <c r="Q2" s="340"/>
      <c r="R2" s="146"/>
      <c r="S2" s="146"/>
      <c r="T2" s="318">
        <v>100</v>
      </c>
      <c r="V2" s="229">
        <v>1</v>
      </c>
    </row>
    <row r="3" spans="1:22" ht="15.75" thickBot="1">
      <c r="A3" s="120">
        <v>2</v>
      </c>
      <c r="B3" s="121">
        <v>1</v>
      </c>
      <c r="C3" s="141" t="s">
        <v>15</v>
      </c>
      <c r="D3" s="141"/>
      <c r="E3" s="142">
        <v>100</v>
      </c>
      <c r="F3" s="142">
        <f t="shared" si="0"/>
        <v>0</v>
      </c>
      <c r="G3" s="2">
        <v>166000</v>
      </c>
      <c r="H3" s="143"/>
      <c r="I3" s="144"/>
      <c r="J3" s="144"/>
      <c r="K3" s="144">
        <v>2.6</v>
      </c>
      <c r="L3" s="144" t="s">
        <v>16</v>
      </c>
      <c r="M3" s="358"/>
      <c r="N3" s="146"/>
      <c r="O3" s="146"/>
      <c r="P3" s="144" t="s">
        <v>16</v>
      </c>
      <c r="Q3" s="340"/>
      <c r="R3" s="146"/>
      <c r="S3" s="146"/>
      <c r="T3" s="297">
        <v>100</v>
      </c>
      <c r="V3" s="229">
        <v>2</v>
      </c>
    </row>
    <row r="4" spans="1:22">
      <c r="A4" s="147">
        <v>3</v>
      </c>
      <c r="B4" s="12">
        <v>1</v>
      </c>
      <c r="C4" s="13" t="s">
        <v>15</v>
      </c>
      <c r="D4" s="13"/>
      <c r="E4" s="14">
        <v>100</v>
      </c>
      <c r="F4" s="14">
        <f t="shared" si="0"/>
        <v>0</v>
      </c>
      <c r="G4" s="3">
        <v>3240000</v>
      </c>
      <c r="H4" s="148"/>
      <c r="I4" s="4"/>
      <c r="J4" s="4"/>
      <c r="K4" s="4">
        <v>1.67</v>
      </c>
      <c r="L4" s="4" t="s">
        <v>16</v>
      </c>
      <c r="M4" s="359"/>
      <c r="N4" s="5"/>
      <c r="O4" s="5"/>
      <c r="P4" s="4" t="s">
        <v>16</v>
      </c>
      <c r="Q4" s="341"/>
      <c r="R4" s="5"/>
      <c r="S4" s="5"/>
      <c r="T4" s="298">
        <v>100</v>
      </c>
      <c r="V4" s="229">
        <v>3</v>
      </c>
    </row>
    <row r="5" spans="1:22">
      <c r="A5" s="149">
        <v>3</v>
      </c>
      <c r="B5" s="7">
        <v>2</v>
      </c>
      <c r="C5" s="8" t="s">
        <v>15</v>
      </c>
      <c r="D5" s="5" t="s">
        <v>17</v>
      </c>
      <c r="E5" s="9">
        <v>37</v>
      </c>
      <c r="F5" s="9">
        <f t="shared" si="0"/>
        <v>63</v>
      </c>
      <c r="G5" s="3">
        <v>1700000</v>
      </c>
      <c r="H5" s="10"/>
      <c r="I5" s="4"/>
      <c r="J5" s="4"/>
      <c r="K5" s="4">
        <v>2.23</v>
      </c>
      <c r="L5" s="4" t="s">
        <v>16</v>
      </c>
      <c r="M5" s="359"/>
      <c r="N5" s="5"/>
      <c r="O5" s="11"/>
      <c r="P5" s="4" t="s">
        <v>16</v>
      </c>
      <c r="Q5" s="342"/>
      <c r="R5" s="5"/>
      <c r="S5" s="5"/>
      <c r="T5" s="298">
        <v>100</v>
      </c>
      <c r="V5" s="229">
        <v>4</v>
      </c>
    </row>
    <row r="6" spans="1:22" ht="15.75" thickBot="1">
      <c r="A6" s="150">
        <v>3</v>
      </c>
      <c r="B6" s="151">
        <v>3</v>
      </c>
      <c r="C6" s="146" t="s">
        <v>15</v>
      </c>
      <c r="D6" s="146" t="s">
        <v>17</v>
      </c>
      <c r="E6" s="152">
        <v>22</v>
      </c>
      <c r="F6" s="152">
        <f t="shared" si="0"/>
        <v>78</v>
      </c>
      <c r="G6" s="2">
        <v>1830000</v>
      </c>
      <c r="H6" s="16"/>
      <c r="I6" s="4"/>
      <c r="J6" s="4"/>
      <c r="K6" s="4">
        <v>1.88</v>
      </c>
      <c r="L6" s="4" t="s">
        <v>16</v>
      </c>
      <c r="M6" s="359"/>
      <c r="N6" s="5"/>
      <c r="O6" s="5"/>
      <c r="P6" s="4" t="s">
        <v>16</v>
      </c>
      <c r="Q6" s="341"/>
      <c r="R6" s="5"/>
      <c r="S6" s="5"/>
      <c r="T6" s="299">
        <v>100</v>
      </c>
      <c r="V6" s="229">
        <v>5</v>
      </c>
    </row>
    <row r="7" spans="1:22" ht="15.75" thickBot="1">
      <c r="A7" s="120">
        <v>4</v>
      </c>
      <c r="B7" s="121">
        <v>1</v>
      </c>
      <c r="C7" s="141" t="s">
        <v>15</v>
      </c>
      <c r="D7" s="141"/>
      <c r="E7" s="142">
        <v>100</v>
      </c>
      <c r="F7" s="142">
        <f t="shared" si="0"/>
        <v>0</v>
      </c>
      <c r="G7" s="2">
        <v>640000</v>
      </c>
      <c r="H7" s="143">
        <f>250000</f>
        <v>250000</v>
      </c>
      <c r="I7" s="153"/>
      <c r="J7" s="153"/>
      <c r="K7" s="153">
        <v>2.58</v>
      </c>
      <c r="L7" s="153" t="s">
        <v>16</v>
      </c>
      <c r="M7" s="360"/>
      <c r="N7" s="141"/>
      <c r="O7" s="141"/>
      <c r="P7" s="153" t="s">
        <v>16</v>
      </c>
      <c r="Q7" s="343"/>
      <c r="R7" s="141"/>
      <c r="S7" s="141"/>
      <c r="T7" s="297">
        <v>100</v>
      </c>
      <c r="V7" s="229">
        <v>6</v>
      </c>
    </row>
    <row r="8" spans="1:22">
      <c r="A8" s="147">
        <v>5</v>
      </c>
      <c r="B8" s="12">
        <v>1</v>
      </c>
      <c r="C8" s="13" t="s">
        <v>15</v>
      </c>
      <c r="D8" s="13"/>
      <c r="E8" s="14">
        <v>100</v>
      </c>
      <c r="F8" s="14">
        <f t="shared" si="0"/>
        <v>0</v>
      </c>
      <c r="G8" s="3">
        <v>1635000</v>
      </c>
      <c r="H8" s="148">
        <v>847000</v>
      </c>
      <c r="I8" s="4"/>
      <c r="J8" s="4"/>
      <c r="K8" s="4">
        <v>1.93</v>
      </c>
      <c r="L8" s="4" t="s">
        <v>16</v>
      </c>
      <c r="M8" s="359"/>
      <c r="N8" s="5"/>
      <c r="O8" s="5"/>
      <c r="P8" s="4" t="s">
        <v>16</v>
      </c>
      <c r="Q8" s="341"/>
      <c r="R8" s="5"/>
      <c r="S8" s="5"/>
      <c r="T8" s="298">
        <v>100</v>
      </c>
      <c r="V8" s="229">
        <v>7</v>
      </c>
    </row>
    <row r="9" spans="1:22" ht="15.75" thickBot="1">
      <c r="A9" s="150">
        <v>5</v>
      </c>
      <c r="B9" s="151">
        <v>2</v>
      </c>
      <c r="C9" s="146"/>
      <c r="D9" s="146" t="s">
        <v>17</v>
      </c>
      <c r="E9" s="152">
        <v>0</v>
      </c>
      <c r="F9" s="152">
        <f t="shared" si="0"/>
        <v>100</v>
      </c>
      <c r="G9" s="2">
        <v>1056000</v>
      </c>
      <c r="H9" s="16">
        <v>815000</v>
      </c>
      <c r="I9" s="4"/>
      <c r="J9" s="4"/>
      <c r="K9" s="4">
        <v>1.3</v>
      </c>
      <c r="L9" s="4" t="s">
        <v>16</v>
      </c>
      <c r="M9" s="359"/>
      <c r="N9" s="4"/>
      <c r="O9" s="5"/>
      <c r="P9" s="4" t="s">
        <v>16</v>
      </c>
      <c r="Q9" s="341"/>
      <c r="R9" s="5"/>
      <c r="S9" s="5"/>
      <c r="T9" s="299">
        <v>100</v>
      </c>
      <c r="V9" s="229">
        <v>8</v>
      </c>
    </row>
    <row r="10" spans="1:22" ht="15.75" thickBot="1">
      <c r="A10" s="120">
        <v>6</v>
      </c>
      <c r="B10" s="121">
        <v>1</v>
      </c>
      <c r="C10" s="141" t="s">
        <v>15</v>
      </c>
      <c r="D10" s="141"/>
      <c r="E10" s="142">
        <v>100</v>
      </c>
      <c r="F10" s="142">
        <f t="shared" si="0"/>
        <v>0</v>
      </c>
      <c r="G10" s="2">
        <v>153000</v>
      </c>
      <c r="H10" s="143"/>
      <c r="I10" s="153"/>
      <c r="J10" s="153"/>
      <c r="K10" s="153">
        <v>3.3</v>
      </c>
      <c r="L10" s="153" t="s">
        <v>16</v>
      </c>
      <c r="M10" s="360"/>
      <c r="N10" s="141"/>
      <c r="O10" s="141"/>
      <c r="P10" s="153" t="s">
        <v>16</v>
      </c>
      <c r="Q10" s="343"/>
      <c r="R10" s="141"/>
      <c r="S10" s="141"/>
      <c r="T10" s="297">
        <v>100</v>
      </c>
      <c r="V10" s="229">
        <v>9</v>
      </c>
    </row>
    <row r="11" spans="1:22" ht="15.75" thickBot="1">
      <c r="A11" s="120">
        <v>7</v>
      </c>
      <c r="B11" s="121">
        <v>1</v>
      </c>
      <c r="C11" s="141" t="s">
        <v>15</v>
      </c>
      <c r="D11" s="141"/>
      <c r="E11" s="142">
        <v>100</v>
      </c>
      <c r="F11" s="142">
        <f t="shared" si="0"/>
        <v>0</v>
      </c>
      <c r="G11" s="2">
        <v>505000</v>
      </c>
      <c r="H11" s="143">
        <v>270000</v>
      </c>
      <c r="I11" s="4"/>
      <c r="J11" s="4"/>
      <c r="K11" s="4">
        <v>1.87</v>
      </c>
      <c r="L11" s="4" t="s">
        <v>16</v>
      </c>
      <c r="M11" s="359"/>
      <c r="N11" s="5"/>
      <c r="O11" s="5"/>
      <c r="P11" s="4" t="s">
        <v>16</v>
      </c>
      <c r="Q11" s="341"/>
      <c r="R11" s="5"/>
      <c r="S11" s="5"/>
      <c r="T11" s="298">
        <v>100</v>
      </c>
      <c r="V11" s="229">
        <v>10</v>
      </c>
    </row>
    <row r="12" spans="1:22">
      <c r="A12" s="154">
        <v>8</v>
      </c>
      <c r="B12" s="12">
        <v>1</v>
      </c>
      <c r="C12" s="13" t="s">
        <v>15</v>
      </c>
      <c r="D12" s="13"/>
      <c r="E12" s="14">
        <v>100</v>
      </c>
      <c r="F12" s="14">
        <f t="shared" si="0"/>
        <v>0</v>
      </c>
      <c r="G12" s="3">
        <v>226000</v>
      </c>
      <c r="H12" s="148">
        <v>200000</v>
      </c>
      <c r="I12" s="155"/>
      <c r="J12" s="155"/>
      <c r="K12" s="155">
        <v>1.1299999999999999</v>
      </c>
      <c r="L12" s="155" t="s">
        <v>16</v>
      </c>
      <c r="M12" s="361"/>
      <c r="N12" s="13"/>
      <c r="O12" s="13"/>
      <c r="P12" s="155" t="s">
        <v>16</v>
      </c>
      <c r="Q12" s="344"/>
      <c r="R12" s="13"/>
      <c r="S12" s="13"/>
      <c r="T12" s="300">
        <v>100</v>
      </c>
      <c r="V12" s="229">
        <v>11</v>
      </c>
    </row>
    <row r="13" spans="1:22" ht="15.75" thickBot="1">
      <c r="A13" s="156">
        <v>8</v>
      </c>
      <c r="B13" s="151">
        <v>2</v>
      </c>
      <c r="C13" s="146"/>
      <c r="D13" s="146" t="s">
        <v>17</v>
      </c>
      <c r="E13" s="152">
        <v>0</v>
      </c>
      <c r="F13" s="152">
        <f t="shared" si="0"/>
        <v>100</v>
      </c>
      <c r="G13" s="2">
        <v>230000</v>
      </c>
      <c r="H13" s="16">
        <v>62000</v>
      </c>
      <c r="I13" s="144"/>
      <c r="J13" s="144"/>
      <c r="K13" s="144">
        <v>3.52</v>
      </c>
      <c r="L13" s="144" t="s">
        <v>16</v>
      </c>
      <c r="M13" s="358"/>
      <c r="N13" s="146"/>
      <c r="O13" s="146"/>
      <c r="P13" s="144" t="s">
        <v>16</v>
      </c>
      <c r="Q13" s="340"/>
      <c r="R13" s="146"/>
      <c r="S13" s="146"/>
      <c r="T13" s="297">
        <v>100</v>
      </c>
      <c r="V13" s="229">
        <v>12</v>
      </c>
    </row>
    <row r="14" spans="1:22">
      <c r="A14" s="154">
        <v>9</v>
      </c>
      <c r="B14" s="12">
        <v>1</v>
      </c>
      <c r="C14" s="13" t="s">
        <v>15</v>
      </c>
      <c r="D14" s="13"/>
      <c r="E14" s="14">
        <v>100</v>
      </c>
      <c r="F14" s="14">
        <f t="shared" si="0"/>
        <v>0</v>
      </c>
      <c r="G14" s="3">
        <v>2200000</v>
      </c>
      <c r="H14" s="148">
        <f>640000</f>
        <v>640000</v>
      </c>
      <c r="I14" s="4"/>
      <c r="J14" s="4"/>
      <c r="K14" s="4">
        <v>3.44</v>
      </c>
      <c r="L14" s="4" t="s">
        <v>16</v>
      </c>
      <c r="M14" s="359"/>
      <c r="N14" s="5"/>
      <c r="O14" s="5"/>
      <c r="P14" s="4" t="s">
        <v>16</v>
      </c>
      <c r="Q14" s="341"/>
      <c r="R14" s="5"/>
      <c r="S14" s="5"/>
      <c r="T14" s="298">
        <v>100</v>
      </c>
      <c r="V14" s="229">
        <v>13</v>
      </c>
    </row>
    <row r="15" spans="1:22" ht="15.75" thickBot="1">
      <c r="A15" s="156">
        <v>9</v>
      </c>
      <c r="B15" s="151">
        <v>2</v>
      </c>
      <c r="C15" s="146" t="s">
        <v>15</v>
      </c>
      <c r="D15" s="146" t="s">
        <v>17</v>
      </c>
      <c r="E15" s="152">
        <v>87</v>
      </c>
      <c r="F15" s="152">
        <f t="shared" si="0"/>
        <v>13</v>
      </c>
      <c r="G15" s="2">
        <v>1800000</v>
      </c>
      <c r="H15" s="16">
        <f>690000</f>
        <v>690000</v>
      </c>
      <c r="I15" s="4"/>
      <c r="J15" s="4"/>
      <c r="K15" s="4">
        <v>2.61</v>
      </c>
      <c r="L15" s="4" t="s">
        <v>16</v>
      </c>
      <c r="M15" s="359"/>
      <c r="N15" s="5"/>
      <c r="O15" s="5"/>
      <c r="P15" s="4" t="s">
        <v>16</v>
      </c>
      <c r="Q15" s="341"/>
      <c r="R15" s="5"/>
      <c r="S15" s="5"/>
      <c r="T15" s="298">
        <v>100</v>
      </c>
      <c r="V15" s="229">
        <v>14</v>
      </c>
    </row>
    <row r="16" spans="1:22" ht="15.75" thickBot="1">
      <c r="A16" s="154">
        <v>10</v>
      </c>
      <c r="B16" s="12">
        <v>1</v>
      </c>
      <c r="C16" s="13" t="s">
        <v>15</v>
      </c>
      <c r="D16" s="13"/>
      <c r="E16" s="14">
        <v>100</v>
      </c>
      <c r="F16" s="14">
        <f t="shared" si="0"/>
        <v>0</v>
      </c>
      <c r="G16" s="3">
        <v>768000</v>
      </c>
      <c r="H16" s="143"/>
      <c r="I16" s="153"/>
      <c r="J16" s="153"/>
      <c r="K16" s="153">
        <v>1.9</v>
      </c>
      <c r="L16" s="153" t="s">
        <v>16</v>
      </c>
      <c r="M16" s="360"/>
      <c r="N16" s="141"/>
      <c r="O16" s="141"/>
      <c r="P16" s="153" t="s">
        <v>16</v>
      </c>
      <c r="Q16" s="343"/>
      <c r="R16" s="141"/>
      <c r="S16" s="141"/>
      <c r="T16" s="301">
        <v>100</v>
      </c>
      <c r="V16" s="229">
        <v>15</v>
      </c>
    </row>
    <row r="17" spans="1:22">
      <c r="A17" s="154">
        <v>11</v>
      </c>
      <c r="B17" s="12">
        <v>1</v>
      </c>
      <c r="C17" s="13" t="s">
        <v>15</v>
      </c>
      <c r="D17" s="13" t="s">
        <v>17</v>
      </c>
      <c r="E17" s="14">
        <v>55</v>
      </c>
      <c r="F17" s="14">
        <f t="shared" si="0"/>
        <v>45</v>
      </c>
      <c r="G17" s="15"/>
      <c r="H17" s="148">
        <f>400000</f>
        <v>400000</v>
      </c>
      <c r="I17" s="4"/>
      <c r="J17" s="4"/>
      <c r="K17" s="4">
        <v>2.4</v>
      </c>
      <c r="L17" s="4" t="s">
        <v>16</v>
      </c>
      <c r="M17" s="359"/>
      <c r="N17" s="5"/>
      <c r="O17" s="5"/>
      <c r="P17" s="4" t="s">
        <v>16</v>
      </c>
      <c r="Q17" s="341"/>
      <c r="R17" s="5"/>
      <c r="S17" s="5"/>
      <c r="T17" s="298">
        <v>100</v>
      </c>
      <c r="V17" s="229">
        <v>16</v>
      </c>
    </row>
    <row r="18" spans="1:22">
      <c r="A18" s="157">
        <v>11</v>
      </c>
      <c r="B18" s="7">
        <v>2</v>
      </c>
      <c r="C18" s="5" t="s">
        <v>15</v>
      </c>
      <c r="D18" s="5" t="s">
        <v>17</v>
      </c>
      <c r="E18" s="9">
        <v>29</v>
      </c>
      <c r="F18" s="9">
        <f t="shared" si="0"/>
        <v>71</v>
      </c>
      <c r="G18" s="3"/>
      <c r="H18" s="10">
        <f>254000</f>
        <v>254000</v>
      </c>
      <c r="I18" s="4"/>
      <c r="J18" s="4"/>
      <c r="K18" s="4">
        <v>2</v>
      </c>
      <c r="L18" s="4" t="s">
        <v>16</v>
      </c>
      <c r="M18" s="359"/>
      <c r="N18" s="5"/>
      <c r="O18" s="5"/>
      <c r="P18" s="4" t="s">
        <v>16</v>
      </c>
      <c r="Q18" s="341"/>
      <c r="R18" s="5"/>
      <c r="S18" s="5"/>
      <c r="T18" s="298">
        <v>100</v>
      </c>
      <c r="V18" s="229">
        <v>17</v>
      </c>
    </row>
    <row r="19" spans="1:22">
      <c r="A19" s="157">
        <v>11</v>
      </c>
      <c r="B19" s="7">
        <v>3</v>
      </c>
      <c r="C19" s="5" t="s">
        <v>15</v>
      </c>
      <c r="D19" s="5" t="s">
        <v>17</v>
      </c>
      <c r="E19" s="9">
        <v>76</v>
      </c>
      <c r="F19" s="9">
        <f t="shared" si="0"/>
        <v>24</v>
      </c>
      <c r="G19" s="3"/>
      <c r="H19" s="10">
        <f>138000</f>
        <v>138000</v>
      </c>
      <c r="I19" s="4"/>
      <c r="J19" s="4"/>
      <c r="K19" s="4">
        <v>1.9</v>
      </c>
      <c r="L19" s="4" t="s">
        <v>16</v>
      </c>
      <c r="M19" s="359"/>
      <c r="N19" s="5"/>
      <c r="O19" s="5"/>
      <c r="P19" s="4" t="s">
        <v>16</v>
      </c>
      <c r="Q19" s="341"/>
      <c r="R19" s="5"/>
      <c r="S19" s="5"/>
      <c r="T19" s="298">
        <v>100</v>
      </c>
      <c r="V19" s="229">
        <v>18</v>
      </c>
    </row>
    <row r="20" spans="1:22" ht="15.75" thickBot="1">
      <c r="A20" s="157">
        <v>11</v>
      </c>
      <c r="B20" s="151">
        <v>4</v>
      </c>
      <c r="C20" s="146" t="s">
        <v>15</v>
      </c>
      <c r="D20" s="5" t="s">
        <v>17</v>
      </c>
      <c r="E20" s="152">
        <v>100</v>
      </c>
      <c r="F20" s="152">
        <f t="shared" si="0"/>
        <v>0</v>
      </c>
      <c r="G20" s="2"/>
      <c r="H20" s="16">
        <f>782000</f>
        <v>782000</v>
      </c>
      <c r="I20" s="4"/>
      <c r="J20" s="4"/>
      <c r="K20" s="4">
        <v>1.8</v>
      </c>
      <c r="L20" s="4" t="s">
        <v>16</v>
      </c>
      <c r="M20" s="359"/>
      <c r="N20" s="5"/>
      <c r="O20" s="5"/>
      <c r="P20" s="4" t="s">
        <v>16</v>
      </c>
      <c r="Q20" s="341"/>
      <c r="R20" s="5"/>
      <c r="S20" s="5"/>
      <c r="T20" s="298">
        <v>100</v>
      </c>
      <c r="V20" s="229">
        <v>19</v>
      </c>
    </row>
    <row r="21" spans="1:22" ht="15.75" customHeight="1">
      <c r="A21" s="154">
        <v>12</v>
      </c>
      <c r="B21" s="12">
        <v>1</v>
      </c>
      <c r="C21" s="13" t="s">
        <v>15</v>
      </c>
      <c r="D21" s="13" t="s">
        <v>17</v>
      </c>
      <c r="E21" s="14">
        <v>54</v>
      </c>
      <c r="F21" s="14">
        <f t="shared" si="0"/>
        <v>46</v>
      </c>
      <c r="G21" s="3">
        <v>450000</v>
      </c>
      <c r="H21" s="148">
        <f>200000</f>
        <v>200000</v>
      </c>
      <c r="I21" s="155"/>
      <c r="J21" s="155"/>
      <c r="K21" s="155">
        <v>2.2999999999999998</v>
      </c>
      <c r="L21" s="155" t="s">
        <v>16</v>
      </c>
      <c r="M21" s="361"/>
      <c r="N21" s="13"/>
      <c r="O21" s="13"/>
      <c r="P21" s="155" t="s">
        <v>16</v>
      </c>
      <c r="Q21" s="344"/>
      <c r="R21" s="13"/>
      <c r="S21" s="13"/>
      <c r="T21" s="300">
        <v>100</v>
      </c>
      <c r="V21" s="229">
        <v>20</v>
      </c>
    </row>
    <row r="22" spans="1:22" ht="15.75" customHeight="1" thickBot="1">
      <c r="A22" s="157">
        <v>12</v>
      </c>
      <c r="B22" s="7">
        <v>2</v>
      </c>
      <c r="C22" s="5" t="s">
        <v>15</v>
      </c>
      <c r="D22" s="5" t="s">
        <v>17</v>
      </c>
      <c r="E22" s="9">
        <v>32</v>
      </c>
      <c r="F22" s="9">
        <f t="shared" si="0"/>
        <v>68</v>
      </c>
      <c r="G22" s="3">
        <v>410000</v>
      </c>
      <c r="H22" s="16">
        <v>210000</v>
      </c>
      <c r="I22" s="144"/>
      <c r="J22" s="144"/>
      <c r="K22" s="144">
        <v>2</v>
      </c>
      <c r="L22" s="144" t="s">
        <v>16</v>
      </c>
      <c r="M22" s="358"/>
      <c r="N22" s="146"/>
      <c r="O22" s="146"/>
      <c r="P22" s="144" t="s">
        <v>16</v>
      </c>
      <c r="Q22" s="340"/>
      <c r="R22" s="146"/>
      <c r="S22" s="146"/>
      <c r="T22" s="297">
        <v>100</v>
      </c>
      <c r="V22" s="229">
        <v>21</v>
      </c>
    </row>
    <row r="23" spans="1:22" ht="15.75" customHeight="1">
      <c r="A23" s="154">
        <v>13</v>
      </c>
      <c r="B23" s="12">
        <v>1</v>
      </c>
      <c r="C23" s="13" t="s">
        <v>15</v>
      </c>
      <c r="D23" s="13" t="s">
        <v>17</v>
      </c>
      <c r="E23" s="14">
        <v>100</v>
      </c>
      <c r="F23" s="14">
        <f t="shared" si="0"/>
        <v>0</v>
      </c>
      <c r="G23" s="15"/>
      <c r="H23" s="148">
        <f>1148000</f>
        <v>1148000</v>
      </c>
      <c r="I23" s="4"/>
      <c r="J23" s="4"/>
      <c r="K23" s="4">
        <v>3.12</v>
      </c>
      <c r="L23" s="4" t="s">
        <v>16</v>
      </c>
      <c r="M23" s="359"/>
      <c r="N23" s="9"/>
      <c r="O23" s="9"/>
      <c r="P23" s="4" t="s">
        <v>16</v>
      </c>
      <c r="Q23" s="345"/>
      <c r="R23" s="10"/>
      <c r="S23" s="10"/>
      <c r="T23" s="302">
        <v>100</v>
      </c>
      <c r="V23" s="229">
        <v>22</v>
      </c>
    </row>
    <row r="24" spans="1:22" ht="15.75" customHeight="1">
      <c r="A24" s="157">
        <v>13</v>
      </c>
      <c r="B24" s="7">
        <v>2</v>
      </c>
      <c r="C24" s="5" t="s">
        <v>15</v>
      </c>
      <c r="D24" s="5" t="s">
        <v>17</v>
      </c>
      <c r="E24" s="9">
        <v>100</v>
      </c>
      <c r="F24" s="9">
        <f t="shared" si="0"/>
        <v>0</v>
      </c>
      <c r="G24" s="3"/>
      <c r="H24" s="10">
        <f>1072000</f>
        <v>1072000</v>
      </c>
      <c r="I24" s="4"/>
      <c r="J24" s="4"/>
      <c r="K24" s="4">
        <v>2.96</v>
      </c>
      <c r="L24" s="4" t="s">
        <v>16</v>
      </c>
      <c r="M24" s="359"/>
      <c r="N24" s="9"/>
      <c r="O24" s="9"/>
      <c r="P24" s="4" t="s">
        <v>16</v>
      </c>
      <c r="Q24" s="345"/>
      <c r="R24" s="10"/>
      <c r="S24" s="10"/>
      <c r="T24" s="302">
        <v>100</v>
      </c>
      <c r="V24" s="229">
        <v>23</v>
      </c>
    </row>
    <row r="25" spans="1:22" ht="15.75" customHeight="1">
      <c r="A25" s="157">
        <v>13</v>
      </c>
      <c r="B25" s="7">
        <v>3</v>
      </c>
      <c r="C25" s="5" t="s">
        <v>15</v>
      </c>
      <c r="D25" s="5" t="s">
        <v>17</v>
      </c>
      <c r="E25" s="9">
        <v>36</v>
      </c>
      <c r="F25" s="9">
        <f t="shared" si="0"/>
        <v>64</v>
      </c>
      <c r="G25" s="3"/>
      <c r="H25" s="10">
        <f>1102000</f>
        <v>1102000</v>
      </c>
      <c r="I25" s="4"/>
      <c r="J25" s="4"/>
      <c r="K25" s="4">
        <v>3.2</v>
      </c>
      <c r="L25" s="4" t="s">
        <v>16</v>
      </c>
      <c r="M25" s="359"/>
      <c r="N25" s="9"/>
      <c r="O25" s="9"/>
      <c r="P25" s="4" t="s">
        <v>16</v>
      </c>
      <c r="Q25" s="345"/>
      <c r="R25" s="10"/>
      <c r="S25" s="10"/>
      <c r="T25" s="302">
        <v>100</v>
      </c>
      <c r="V25" s="229">
        <v>24</v>
      </c>
    </row>
    <row r="26" spans="1:22" ht="15.75" customHeight="1">
      <c r="A26" s="157">
        <v>13</v>
      </c>
      <c r="B26" s="7">
        <v>4</v>
      </c>
      <c r="C26" s="5" t="s">
        <v>15</v>
      </c>
      <c r="D26" s="5" t="s">
        <v>17</v>
      </c>
      <c r="E26" s="9">
        <v>84</v>
      </c>
      <c r="F26" s="9">
        <f t="shared" si="0"/>
        <v>16</v>
      </c>
      <c r="G26" s="3"/>
      <c r="H26" s="10">
        <f>1019000</f>
        <v>1019000</v>
      </c>
      <c r="I26" s="4"/>
      <c r="J26" s="4"/>
      <c r="K26" s="4">
        <v>2.56</v>
      </c>
      <c r="L26" s="4" t="s">
        <v>16</v>
      </c>
      <c r="M26" s="359"/>
      <c r="N26" s="9"/>
      <c r="O26" s="9"/>
      <c r="P26" s="4" t="s">
        <v>16</v>
      </c>
      <c r="Q26" s="345"/>
      <c r="R26" s="10"/>
      <c r="S26" s="10"/>
      <c r="T26" s="302">
        <v>100</v>
      </c>
      <c r="V26" s="229">
        <v>25</v>
      </c>
    </row>
    <row r="27" spans="1:22" ht="15.75" customHeight="1">
      <c r="A27" s="157">
        <v>13</v>
      </c>
      <c r="B27" s="7">
        <v>5</v>
      </c>
      <c r="C27" s="5" t="s">
        <v>15</v>
      </c>
      <c r="D27" s="5" t="s">
        <v>17</v>
      </c>
      <c r="E27" s="9">
        <v>12</v>
      </c>
      <c r="F27" s="9">
        <f t="shared" si="0"/>
        <v>88</v>
      </c>
      <c r="G27" s="3"/>
      <c r="H27" s="10">
        <f>1329000</f>
        <v>1329000</v>
      </c>
      <c r="I27" s="4"/>
      <c r="J27" s="4"/>
      <c r="K27" s="4">
        <v>3.2</v>
      </c>
      <c r="L27" s="4" t="s">
        <v>16</v>
      </c>
      <c r="M27" s="359"/>
      <c r="N27" s="9"/>
      <c r="O27" s="9"/>
      <c r="P27" s="4" t="s">
        <v>16</v>
      </c>
      <c r="Q27" s="345"/>
      <c r="R27" s="10"/>
      <c r="S27" s="10"/>
      <c r="T27" s="302">
        <v>100</v>
      </c>
      <c r="V27" s="229">
        <v>26</v>
      </c>
    </row>
    <row r="28" spans="1:22" ht="15.75" customHeight="1">
      <c r="A28" s="157">
        <v>13</v>
      </c>
      <c r="B28" s="7">
        <v>6</v>
      </c>
      <c r="C28" s="5" t="s">
        <v>15</v>
      </c>
      <c r="D28" s="5" t="s">
        <v>17</v>
      </c>
      <c r="E28" s="9">
        <v>57</v>
      </c>
      <c r="F28" s="9">
        <f t="shared" si="0"/>
        <v>43</v>
      </c>
      <c r="G28" s="3"/>
      <c r="H28" s="10">
        <f>1312000</f>
        <v>1312000</v>
      </c>
      <c r="I28" s="4"/>
      <c r="J28" s="4"/>
      <c r="K28" s="4">
        <v>2.98</v>
      </c>
      <c r="L28" s="4" t="s">
        <v>16</v>
      </c>
      <c r="M28" s="359"/>
      <c r="N28" s="9"/>
      <c r="O28" s="9"/>
      <c r="P28" s="4" t="s">
        <v>16</v>
      </c>
      <c r="Q28" s="345"/>
      <c r="R28" s="10"/>
      <c r="S28" s="10"/>
      <c r="T28" s="302">
        <v>100</v>
      </c>
      <c r="V28" s="229">
        <v>27</v>
      </c>
    </row>
    <row r="29" spans="1:22" ht="15.75" customHeight="1">
      <c r="A29" s="157">
        <v>13</v>
      </c>
      <c r="B29" s="7">
        <v>7</v>
      </c>
      <c r="C29" s="5" t="s">
        <v>15</v>
      </c>
      <c r="D29" s="5" t="s">
        <v>17</v>
      </c>
      <c r="E29" s="9">
        <v>8</v>
      </c>
      <c r="F29" s="9">
        <f t="shared" si="0"/>
        <v>92</v>
      </c>
      <c r="G29" s="3"/>
      <c r="H29" s="10">
        <f>1985000</f>
        <v>1985000</v>
      </c>
      <c r="I29" s="4"/>
      <c r="J29" s="4"/>
      <c r="K29" s="4">
        <v>2.64</v>
      </c>
      <c r="L29" s="4" t="s">
        <v>16</v>
      </c>
      <c r="M29" s="359"/>
      <c r="N29" s="9"/>
      <c r="O29" s="9"/>
      <c r="P29" s="4" t="s">
        <v>16</v>
      </c>
      <c r="Q29" s="345"/>
      <c r="R29" s="10"/>
      <c r="S29" s="10"/>
      <c r="T29" s="302">
        <v>100</v>
      </c>
      <c r="V29" s="229">
        <v>28</v>
      </c>
    </row>
    <row r="30" spans="1:22" ht="15.75" customHeight="1">
      <c r="A30" s="157">
        <v>13</v>
      </c>
      <c r="B30" s="7">
        <v>8</v>
      </c>
      <c r="C30" s="5" t="s">
        <v>15</v>
      </c>
      <c r="D30" s="5" t="s">
        <v>17</v>
      </c>
      <c r="E30" s="9">
        <v>44</v>
      </c>
      <c r="F30" s="9">
        <f t="shared" si="0"/>
        <v>56</v>
      </c>
      <c r="G30" s="3"/>
      <c r="H30" s="10">
        <f>1121000</f>
        <v>1121000</v>
      </c>
      <c r="I30" s="4"/>
      <c r="J30" s="4"/>
      <c r="K30" s="4">
        <v>3.08</v>
      </c>
      <c r="L30" s="4" t="s">
        <v>16</v>
      </c>
      <c r="M30" s="359"/>
      <c r="N30" s="9"/>
      <c r="O30" s="9"/>
      <c r="P30" s="4" t="s">
        <v>16</v>
      </c>
      <c r="Q30" s="345"/>
      <c r="R30" s="10"/>
      <c r="S30" s="10"/>
      <c r="T30" s="302">
        <v>100</v>
      </c>
      <c r="V30" s="229">
        <v>29</v>
      </c>
    </row>
    <row r="31" spans="1:22" ht="15.75" customHeight="1">
      <c r="A31" s="157">
        <v>13</v>
      </c>
      <c r="B31" s="7">
        <v>9</v>
      </c>
      <c r="C31" s="5" t="s">
        <v>15</v>
      </c>
      <c r="D31" s="5" t="s">
        <v>17</v>
      </c>
      <c r="E31" s="9">
        <v>5</v>
      </c>
      <c r="F31" s="9">
        <f t="shared" si="0"/>
        <v>95</v>
      </c>
      <c r="G31" s="3"/>
      <c r="H31" s="10">
        <f>2004000</f>
        <v>2004000</v>
      </c>
      <c r="I31" s="4"/>
      <c r="J31" s="4"/>
      <c r="K31" s="4">
        <v>2.42</v>
      </c>
      <c r="L31" s="4" t="s">
        <v>16</v>
      </c>
      <c r="M31" s="359"/>
      <c r="N31" s="9"/>
      <c r="O31" s="9"/>
      <c r="P31" s="4" t="s">
        <v>16</v>
      </c>
      <c r="Q31" s="345"/>
      <c r="R31" s="10"/>
      <c r="S31" s="10"/>
      <c r="T31" s="302">
        <v>100</v>
      </c>
      <c r="V31" s="229">
        <v>30</v>
      </c>
    </row>
    <row r="32" spans="1:22" ht="15.75" customHeight="1">
      <c r="A32" s="157">
        <v>13</v>
      </c>
      <c r="B32" s="7">
        <v>10</v>
      </c>
      <c r="C32" s="5" t="s">
        <v>15</v>
      </c>
      <c r="D32" s="5" t="s">
        <v>17</v>
      </c>
      <c r="E32" s="9">
        <v>35</v>
      </c>
      <c r="F32" s="9">
        <f t="shared" si="0"/>
        <v>65</v>
      </c>
      <c r="G32" s="3"/>
      <c r="H32" s="10">
        <f>998000</f>
        <v>998000</v>
      </c>
      <c r="I32" s="4"/>
      <c r="J32" s="4"/>
      <c r="K32" s="4">
        <v>2.78</v>
      </c>
      <c r="L32" s="4" t="s">
        <v>16</v>
      </c>
      <c r="M32" s="359"/>
      <c r="N32" s="9"/>
      <c r="O32" s="9"/>
      <c r="P32" s="4" t="s">
        <v>16</v>
      </c>
      <c r="Q32" s="345"/>
      <c r="R32" s="10"/>
      <c r="S32" s="10"/>
      <c r="T32" s="302">
        <v>100</v>
      </c>
      <c r="V32" s="229">
        <v>31</v>
      </c>
    </row>
    <row r="33" spans="1:22" ht="15.75" customHeight="1">
      <c r="A33" s="157">
        <v>13</v>
      </c>
      <c r="B33" s="7">
        <v>11</v>
      </c>
      <c r="C33" s="5" t="s">
        <v>15</v>
      </c>
      <c r="D33" s="5" t="s">
        <v>17</v>
      </c>
      <c r="E33" s="9">
        <v>100</v>
      </c>
      <c r="F33" s="9">
        <f t="shared" si="0"/>
        <v>0</v>
      </c>
      <c r="G33" s="3"/>
      <c r="H33" s="10">
        <f>1183000</f>
        <v>1183000</v>
      </c>
      <c r="I33" s="4"/>
      <c r="J33" s="4"/>
      <c r="K33" s="4">
        <v>3.06</v>
      </c>
      <c r="L33" s="4" t="s">
        <v>16</v>
      </c>
      <c r="M33" s="359"/>
      <c r="N33" s="9"/>
      <c r="O33" s="9"/>
      <c r="P33" s="4" t="s">
        <v>16</v>
      </c>
      <c r="Q33" s="345"/>
      <c r="R33" s="10"/>
      <c r="S33" s="10"/>
      <c r="T33" s="302">
        <v>100</v>
      </c>
      <c r="V33" s="229">
        <v>32</v>
      </c>
    </row>
    <row r="34" spans="1:22" ht="15.75" customHeight="1">
      <c r="A34" s="157">
        <v>13</v>
      </c>
      <c r="B34" s="7">
        <v>12</v>
      </c>
      <c r="C34" s="5" t="s">
        <v>15</v>
      </c>
      <c r="D34" s="5" t="s">
        <v>17</v>
      </c>
      <c r="E34" s="9">
        <v>100</v>
      </c>
      <c r="F34" s="9">
        <f t="shared" si="0"/>
        <v>0</v>
      </c>
      <c r="G34" s="3"/>
      <c r="H34" s="10">
        <f>1044000</f>
        <v>1044000</v>
      </c>
      <c r="I34" s="4"/>
      <c r="J34" s="4"/>
      <c r="K34" s="4">
        <v>2.84</v>
      </c>
      <c r="L34" s="4" t="s">
        <v>16</v>
      </c>
      <c r="M34" s="359"/>
      <c r="N34" s="9"/>
      <c r="O34" s="9"/>
      <c r="P34" s="4" t="s">
        <v>16</v>
      </c>
      <c r="Q34" s="345"/>
      <c r="R34" s="10"/>
      <c r="S34" s="10"/>
      <c r="T34" s="302">
        <v>100</v>
      </c>
      <c r="V34" s="229">
        <v>33</v>
      </c>
    </row>
    <row r="35" spans="1:22" ht="15.75" customHeight="1">
      <c r="A35" s="157">
        <v>13</v>
      </c>
      <c r="B35" s="7">
        <v>13</v>
      </c>
      <c r="C35" s="5" t="s">
        <v>15</v>
      </c>
      <c r="D35" s="5" t="s">
        <v>17</v>
      </c>
      <c r="E35" s="9">
        <v>27</v>
      </c>
      <c r="F35" s="9">
        <f t="shared" si="0"/>
        <v>73</v>
      </c>
      <c r="G35" s="3"/>
      <c r="H35" s="10">
        <f>1069000</f>
        <v>1069000</v>
      </c>
      <c r="I35" s="4"/>
      <c r="J35" s="4"/>
      <c r="K35" s="4">
        <v>3.11</v>
      </c>
      <c r="L35" s="4" t="s">
        <v>16</v>
      </c>
      <c r="M35" s="359"/>
      <c r="N35" s="9"/>
      <c r="O35" s="9"/>
      <c r="P35" s="4" t="s">
        <v>16</v>
      </c>
      <c r="Q35" s="345"/>
      <c r="R35" s="10"/>
      <c r="S35" s="10"/>
      <c r="T35" s="302">
        <v>100</v>
      </c>
      <c r="V35" s="229">
        <v>34</v>
      </c>
    </row>
    <row r="36" spans="1:22" ht="15.75" customHeight="1">
      <c r="A36" s="157">
        <v>13</v>
      </c>
      <c r="B36" s="7">
        <v>14</v>
      </c>
      <c r="C36" s="5" t="s">
        <v>15</v>
      </c>
      <c r="D36" s="5" t="s">
        <v>17</v>
      </c>
      <c r="E36" s="9">
        <v>88</v>
      </c>
      <c r="F36" s="9">
        <f t="shared" si="0"/>
        <v>12</v>
      </c>
      <c r="G36" s="3"/>
      <c r="H36" s="10">
        <f>1025000</f>
        <v>1025000</v>
      </c>
      <c r="I36" s="4"/>
      <c r="J36" s="4"/>
      <c r="K36" s="4">
        <v>2.48</v>
      </c>
      <c r="L36" s="4" t="s">
        <v>16</v>
      </c>
      <c r="M36" s="359"/>
      <c r="N36" s="9"/>
      <c r="O36" s="9"/>
      <c r="P36" s="4" t="s">
        <v>16</v>
      </c>
      <c r="Q36" s="345"/>
      <c r="R36" s="10"/>
      <c r="S36" s="10"/>
      <c r="T36" s="302">
        <v>100</v>
      </c>
      <c r="V36" s="229">
        <v>35</v>
      </c>
    </row>
    <row r="37" spans="1:22" ht="15.75" customHeight="1">
      <c r="A37" s="157">
        <v>13</v>
      </c>
      <c r="B37" s="7">
        <v>15</v>
      </c>
      <c r="C37" s="5" t="s">
        <v>15</v>
      </c>
      <c r="D37" s="5" t="s">
        <v>17</v>
      </c>
      <c r="E37" s="9">
        <v>12</v>
      </c>
      <c r="F37" s="9">
        <f t="shared" si="0"/>
        <v>88</v>
      </c>
      <c r="G37" s="3"/>
      <c r="H37" s="10">
        <f>1273000</f>
        <v>1273000</v>
      </c>
      <c r="I37" s="4"/>
      <c r="J37" s="4"/>
      <c r="K37" s="4">
        <v>3.03</v>
      </c>
      <c r="L37" s="4" t="s">
        <v>16</v>
      </c>
      <c r="M37" s="359"/>
      <c r="N37" s="9"/>
      <c r="O37" s="9"/>
      <c r="P37" s="4" t="s">
        <v>16</v>
      </c>
      <c r="Q37" s="345"/>
      <c r="R37" s="10"/>
      <c r="S37" s="10"/>
      <c r="T37" s="302">
        <v>100</v>
      </c>
      <c r="V37" s="229">
        <v>36</v>
      </c>
    </row>
    <row r="38" spans="1:22" ht="15.75" customHeight="1">
      <c r="A38" s="157">
        <v>13</v>
      </c>
      <c r="B38" s="7">
        <v>16</v>
      </c>
      <c r="C38" s="5" t="s">
        <v>15</v>
      </c>
      <c r="D38" s="5" t="s">
        <v>17</v>
      </c>
      <c r="E38" s="9">
        <v>62</v>
      </c>
      <c r="F38" s="9">
        <f t="shared" si="0"/>
        <v>38</v>
      </c>
      <c r="G38" s="3"/>
      <c r="H38" s="10">
        <f>1292000</f>
        <v>1292000</v>
      </c>
      <c r="I38" s="4"/>
      <c r="J38" s="4"/>
      <c r="K38" s="4">
        <v>2.89</v>
      </c>
      <c r="L38" s="4" t="s">
        <v>16</v>
      </c>
      <c r="M38" s="359"/>
      <c r="N38" s="9"/>
      <c r="O38" s="9"/>
      <c r="P38" s="4" t="s">
        <v>16</v>
      </c>
      <c r="Q38" s="345"/>
      <c r="R38" s="10"/>
      <c r="S38" s="10"/>
      <c r="T38" s="302">
        <v>100</v>
      </c>
      <c r="V38" s="229">
        <v>37</v>
      </c>
    </row>
    <row r="39" spans="1:22" ht="15.75" customHeight="1">
      <c r="A39" s="157">
        <v>13</v>
      </c>
      <c r="B39" s="7">
        <v>17</v>
      </c>
      <c r="C39" s="5" t="s">
        <v>15</v>
      </c>
      <c r="D39" s="5" t="s">
        <v>17</v>
      </c>
      <c r="E39" s="9">
        <v>8</v>
      </c>
      <c r="F39" s="9">
        <f t="shared" si="0"/>
        <v>92</v>
      </c>
      <c r="G39" s="3"/>
      <c r="H39" s="10">
        <f>2015000</f>
        <v>2015000</v>
      </c>
      <c r="I39" s="4"/>
      <c r="J39" s="4"/>
      <c r="K39" s="4">
        <v>2.48</v>
      </c>
      <c r="L39" s="4" t="s">
        <v>16</v>
      </c>
      <c r="M39" s="359"/>
      <c r="N39" s="9"/>
      <c r="O39" s="9"/>
      <c r="P39" s="4" t="s">
        <v>16</v>
      </c>
      <c r="Q39" s="345"/>
      <c r="R39" s="10"/>
      <c r="S39" s="10"/>
      <c r="T39" s="302">
        <v>100</v>
      </c>
      <c r="V39" s="229">
        <v>38</v>
      </c>
    </row>
    <row r="40" spans="1:22" ht="15.75" customHeight="1">
      <c r="A40" s="157">
        <v>13</v>
      </c>
      <c r="B40" s="7">
        <v>18</v>
      </c>
      <c r="C40" s="5" t="s">
        <v>15</v>
      </c>
      <c r="D40" s="5" t="s">
        <v>17</v>
      </c>
      <c r="E40" s="9">
        <v>37</v>
      </c>
      <c r="F40" s="9">
        <f t="shared" si="0"/>
        <v>63</v>
      </c>
      <c r="G40" s="3"/>
      <c r="H40" s="10">
        <f>1141000</f>
        <v>1141000</v>
      </c>
      <c r="I40" s="4"/>
      <c r="J40" s="4"/>
      <c r="K40" s="4">
        <v>2.88</v>
      </c>
      <c r="L40" s="4" t="s">
        <v>16</v>
      </c>
      <c r="M40" s="359"/>
      <c r="N40" s="9"/>
      <c r="O40" s="9"/>
      <c r="P40" s="4" t="s">
        <v>16</v>
      </c>
      <c r="Q40" s="345"/>
      <c r="R40" s="10"/>
      <c r="S40" s="10"/>
      <c r="T40" s="302">
        <v>100</v>
      </c>
      <c r="V40" s="229">
        <v>39</v>
      </c>
    </row>
    <row r="41" spans="1:22" ht="15.75" customHeight="1">
      <c r="A41" s="157">
        <v>13</v>
      </c>
      <c r="B41" s="7">
        <v>19</v>
      </c>
      <c r="C41" s="5" t="s">
        <v>15</v>
      </c>
      <c r="D41" s="5" t="s">
        <v>17</v>
      </c>
      <c r="E41" s="9">
        <v>6</v>
      </c>
      <c r="F41" s="9">
        <f t="shared" si="0"/>
        <v>94</v>
      </c>
      <c r="G41" s="3"/>
      <c r="H41" s="10">
        <f>2101000</f>
        <v>2101000</v>
      </c>
      <c r="I41" s="4"/>
      <c r="J41" s="4"/>
      <c r="K41" s="4">
        <v>2.31</v>
      </c>
      <c r="L41" s="4" t="s">
        <v>16</v>
      </c>
      <c r="M41" s="359"/>
      <c r="N41" s="9"/>
      <c r="O41" s="9"/>
      <c r="P41" s="4" t="s">
        <v>16</v>
      </c>
      <c r="Q41" s="345"/>
      <c r="R41" s="10"/>
      <c r="S41" s="10"/>
      <c r="T41" s="302">
        <v>100</v>
      </c>
      <c r="V41" s="229">
        <v>40</v>
      </c>
    </row>
    <row r="42" spans="1:22" ht="15.75" customHeight="1" thickBot="1">
      <c r="A42" s="156">
        <v>13</v>
      </c>
      <c r="B42" s="151">
        <v>20</v>
      </c>
      <c r="C42" s="146" t="s">
        <v>15</v>
      </c>
      <c r="D42" s="146" t="s">
        <v>17</v>
      </c>
      <c r="E42" s="152">
        <v>24</v>
      </c>
      <c r="F42" s="152">
        <f t="shared" si="0"/>
        <v>76</v>
      </c>
      <c r="G42" s="2"/>
      <c r="H42" s="16">
        <f>1007000</f>
        <v>1007000</v>
      </c>
      <c r="I42" s="4"/>
      <c r="J42" s="4"/>
      <c r="K42" s="4">
        <v>2.91</v>
      </c>
      <c r="L42" s="4" t="s">
        <v>16</v>
      </c>
      <c r="M42" s="359"/>
      <c r="N42" s="9"/>
      <c r="O42" s="9"/>
      <c r="P42" s="4" t="s">
        <v>16</v>
      </c>
      <c r="Q42" s="345"/>
      <c r="R42" s="10"/>
      <c r="S42" s="10"/>
      <c r="T42" s="303">
        <v>100</v>
      </c>
      <c r="V42" s="229">
        <v>41</v>
      </c>
    </row>
    <row r="43" spans="1:22" ht="15.75" customHeight="1">
      <c r="A43" s="157">
        <v>14</v>
      </c>
      <c r="B43" s="7">
        <v>1</v>
      </c>
      <c r="C43" s="5" t="s">
        <v>15</v>
      </c>
      <c r="D43" s="5" t="s">
        <v>17</v>
      </c>
      <c r="E43" s="9">
        <v>68</v>
      </c>
      <c r="F43" s="9">
        <f t="shared" si="0"/>
        <v>32</v>
      </c>
      <c r="G43" s="3">
        <v>550000</v>
      </c>
      <c r="H43" s="148"/>
      <c r="I43" s="155"/>
      <c r="J43" s="155"/>
      <c r="K43" s="155">
        <v>1.4</v>
      </c>
      <c r="L43" s="155" t="s">
        <v>16</v>
      </c>
      <c r="M43" s="361"/>
      <c r="N43" s="13"/>
      <c r="O43" s="13"/>
      <c r="P43" s="155" t="s">
        <v>16</v>
      </c>
      <c r="Q43" s="344"/>
      <c r="R43" s="13"/>
      <c r="S43" s="13"/>
      <c r="T43" s="302">
        <v>100</v>
      </c>
      <c r="V43" s="229">
        <v>42</v>
      </c>
    </row>
    <row r="44" spans="1:22" ht="15.75" customHeight="1">
      <c r="A44" s="157">
        <v>14</v>
      </c>
      <c r="B44" s="7">
        <v>2</v>
      </c>
      <c r="C44" s="5" t="s">
        <v>15</v>
      </c>
      <c r="D44" s="5" t="s">
        <v>17</v>
      </c>
      <c r="E44" s="9">
        <v>65</v>
      </c>
      <c r="F44" s="9">
        <f t="shared" si="0"/>
        <v>35</v>
      </c>
      <c r="G44" s="3">
        <v>290000</v>
      </c>
      <c r="H44" s="10"/>
      <c r="I44" s="4"/>
      <c r="J44" s="4"/>
      <c r="K44" s="4">
        <v>5.6</v>
      </c>
      <c r="L44" s="4" t="s">
        <v>16</v>
      </c>
      <c r="M44" s="359"/>
      <c r="N44" s="5"/>
      <c r="O44" s="5"/>
      <c r="P44" s="4" t="s">
        <v>16</v>
      </c>
      <c r="Q44" s="341"/>
      <c r="R44" s="5"/>
      <c r="S44" s="5"/>
      <c r="T44" s="302">
        <v>100</v>
      </c>
      <c r="V44" s="229">
        <v>43</v>
      </c>
    </row>
    <row r="45" spans="1:22" ht="15.75" customHeight="1">
      <c r="A45" s="157">
        <v>14</v>
      </c>
      <c r="B45" s="7">
        <v>3</v>
      </c>
      <c r="C45" s="5" t="s">
        <v>15</v>
      </c>
      <c r="D45" s="5" t="s">
        <v>17</v>
      </c>
      <c r="E45" s="9">
        <v>70</v>
      </c>
      <c r="F45" s="9">
        <f t="shared" si="0"/>
        <v>30</v>
      </c>
      <c r="G45" s="3">
        <v>250000</v>
      </c>
      <c r="H45" s="10"/>
      <c r="I45" s="4"/>
      <c r="J45" s="4"/>
      <c r="K45" s="4">
        <v>2.9</v>
      </c>
      <c r="L45" s="4" t="s">
        <v>16</v>
      </c>
      <c r="M45" s="359"/>
      <c r="N45" s="5"/>
      <c r="O45" s="5"/>
      <c r="P45" s="4" t="s">
        <v>16</v>
      </c>
      <c r="Q45" s="341"/>
      <c r="R45" s="5"/>
      <c r="S45" s="5"/>
      <c r="T45" s="302">
        <v>100</v>
      </c>
      <c r="V45" s="229">
        <v>44</v>
      </c>
    </row>
    <row r="46" spans="1:22" ht="15.75" customHeight="1" thickBot="1">
      <c r="A46" s="157">
        <v>14</v>
      </c>
      <c r="B46" s="151">
        <v>4</v>
      </c>
      <c r="C46" s="146" t="s">
        <v>15</v>
      </c>
      <c r="D46" s="146" t="s">
        <v>17</v>
      </c>
      <c r="E46" s="152">
        <v>71</v>
      </c>
      <c r="F46" s="152">
        <f t="shared" si="0"/>
        <v>29</v>
      </c>
      <c r="G46" s="2">
        <v>410000</v>
      </c>
      <c r="H46" s="16"/>
      <c r="I46" s="144"/>
      <c r="J46" s="144"/>
      <c r="K46" s="144">
        <v>1.4</v>
      </c>
      <c r="L46" s="144" t="s">
        <v>16</v>
      </c>
      <c r="M46" s="358"/>
      <c r="N46" s="146"/>
      <c r="O46" s="146"/>
      <c r="P46" s="144" t="s">
        <v>16</v>
      </c>
      <c r="Q46" s="340"/>
      <c r="R46" s="146"/>
      <c r="S46" s="146"/>
      <c r="T46" s="297">
        <v>100</v>
      </c>
      <c r="V46" s="229">
        <v>45</v>
      </c>
    </row>
    <row r="47" spans="1:22" ht="15.75" customHeight="1">
      <c r="A47" s="154">
        <v>15</v>
      </c>
      <c r="B47" s="12">
        <v>1</v>
      </c>
      <c r="C47" s="13" t="s">
        <v>15</v>
      </c>
      <c r="D47" s="13" t="s">
        <v>17</v>
      </c>
      <c r="E47" s="14">
        <v>13.1</v>
      </c>
      <c r="F47" s="14">
        <f t="shared" si="0"/>
        <v>86.9</v>
      </c>
      <c r="G47" s="3">
        <v>3580000</v>
      </c>
      <c r="H47" s="148">
        <v>1460000</v>
      </c>
      <c r="I47" s="4"/>
      <c r="J47" s="4"/>
      <c r="K47" s="4">
        <v>2.4500000000000002</v>
      </c>
      <c r="L47" s="4" t="s">
        <v>16</v>
      </c>
      <c r="M47" s="359"/>
      <c r="N47" s="5"/>
      <c r="O47" s="5"/>
      <c r="P47" s="4" t="s">
        <v>16</v>
      </c>
      <c r="Q47" s="341"/>
      <c r="R47" s="5"/>
      <c r="S47" s="5"/>
      <c r="T47" s="302">
        <v>100</v>
      </c>
      <c r="V47" s="229">
        <v>46</v>
      </c>
    </row>
    <row r="48" spans="1:22" ht="15.75" customHeight="1">
      <c r="A48" s="157">
        <v>15</v>
      </c>
      <c r="B48" s="7">
        <v>2</v>
      </c>
      <c r="C48" s="5" t="s">
        <v>15</v>
      </c>
      <c r="D48" s="5" t="s">
        <v>17</v>
      </c>
      <c r="E48" s="9">
        <v>0.5</v>
      </c>
      <c r="F48" s="9">
        <f t="shared" si="0"/>
        <v>99.5</v>
      </c>
      <c r="G48" s="3">
        <v>1690000</v>
      </c>
      <c r="H48" s="10">
        <v>780000</v>
      </c>
      <c r="I48" s="4"/>
      <c r="J48" s="4"/>
      <c r="K48" s="4">
        <v>2.17</v>
      </c>
      <c r="L48" s="4" t="s">
        <v>16</v>
      </c>
      <c r="M48" s="359"/>
      <c r="N48" s="5"/>
      <c r="O48" s="5"/>
      <c r="P48" s="4" t="s">
        <v>16</v>
      </c>
      <c r="Q48" s="341"/>
      <c r="R48" s="5"/>
      <c r="S48" s="5"/>
      <c r="T48" s="302">
        <v>100</v>
      </c>
      <c r="V48" s="229">
        <v>47</v>
      </c>
    </row>
    <row r="49" spans="1:22" ht="15.75" customHeight="1">
      <c r="A49" s="157">
        <v>15</v>
      </c>
      <c r="B49" s="7">
        <v>3</v>
      </c>
      <c r="C49" s="5" t="s">
        <v>15</v>
      </c>
      <c r="D49" s="5" t="s">
        <v>17</v>
      </c>
      <c r="E49" s="9">
        <v>79.400000000000006</v>
      </c>
      <c r="F49" s="9">
        <f t="shared" si="0"/>
        <v>20.599999999999994</v>
      </c>
      <c r="G49" s="3">
        <v>3400000</v>
      </c>
      <c r="H49" s="10">
        <v>1370000</v>
      </c>
      <c r="I49" s="4"/>
      <c r="J49" s="4"/>
      <c r="K49" s="4">
        <v>2.48</v>
      </c>
      <c r="L49" s="4" t="s">
        <v>16</v>
      </c>
      <c r="M49" s="359"/>
      <c r="N49" s="5"/>
      <c r="O49" s="5"/>
      <c r="P49" s="4" t="s">
        <v>16</v>
      </c>
      <c r="Q49" s="341"/>
      <c r="R49" s="5"/>
      <c r="S49" s="5"/>
      <c r="T49" s="302">
        <v>100</v>
      </c>
      <c r="V49" s="229">
        <v>48</v>
      </c>
    </row>
    <row r="50" spans="1:22" ht="15.75" customHeight="1">
      <c r="A50" s="157">
        <v>15</v>
      </c>
      <c r="B50" s="7">
        <v>4</v>
      </c>
      <c r="C50" s="5" t="s">
        <v>15</v>
      </c>
      <c r="D50" s="5" t="s">
        <v>17</v>
      </c>
      <c r="E50" s="9">
        <v>28.5</v>
      </c>
      <c r="F50" s="9">
        <f t="shared" si="0"/>
        <v>71.5</v>
      </c>
      <c r="G50" s="3">
        <v>3070000</v>
      </c>
      <c r="H50" s="10">
        <v>1260000</v>
      </c>
      <c r="I50" s="4"/>
      <c r="J50" s="4"/>
      <c r="K50" s="4">
        <v>2.44</v>
      </c>
      <c r="L50" s="4" t="s">
        <v>16</v>
      </c>
      <c r="M50" s="359"/>
      <c r="N50" s="5"/>
      <c r="O50" s="5"/>
      <c r="P50" s="4" t="s">
        <v>16</v>
      </c>
      <c r="Q50" s="341"/>
      <c r="R50" s="5"/>
      <c r="S50" s="5"/>
      <c r="T50" s="298">
        <v>100</v>
      </c>
      <c r="V50" s="229">
        <v>49</v>
      </c>
    </row>
    <row r="51" spans="1:22" ht="15.75" customHeight="1" thickBot="1">
      <c r="A51" s="157">
        <v>15</v>
      </c>
      <c r="B51" s="151">
        <v>5</v>
      </c>
      <c r="C51" s="146" t="s">
        <v>15</v>
      </c>
      <c r="D51" s="146" t="s">
        <v>17</v>
      </c>
      <c r="E51" s="152">
        <v>55.6</v>
      </c>
      <c r="F51" s="152">
        <f t="shared" si="0"/>
        <v>44.4</v>
      </c>
      <c r="G51" s="2">
        <v>2710000</v>
      </c>
      <c r="H51" s="16">
        <v>1540000</v>
      </c>
      <c r="I51" s="144"/>
      <c r="J51" s="144"/>
      <c r="K51" s="144">
        <v>1.76</v>
      </c>
      <c r="L51" s="144" t="s">
        <v>16</v>
      </c>
      <c r="M51" s="358"/>
      <c r="N51" s="146"/>
      <c r="O51" s="146"/>
      <c r="P51" s="144" t="s">
        <v>16</v>
      </c>
      <c r="Q51" s="340"/>
      <c r="R51" s="146"/>
      <c r="S51" s="146"/>
      <c r="T51" s="297">
        <v>100</v>
      </c>
      <c r="V51" s="229">
        <v>50</v>
      </c>
    </row>
    <row r="52" spans="1:22" ht="15.75" customHeight="1">
      <c r="A52" s="154">
        <v>17</v>
      </c>
      <c r="B52" s="12">
        <v>1</v>
      </c>
      <c r="C52" s="13" t="s">
        <v>15</v>
      </c>
      <c r="D52" s="13" t="s">
        <v>17</v>
      </c>
      <c r="E52" s="14">
        <v>97.5</v>
      </c>
      <c r="F52" s="14">
        <f t="shared" si="0"/>
        <v>2.5</v>
      </c>
      <c r="G52" s="3">
        <v>1120000</v>
      </c>
      <c r="H52" s="148">
        <v>1051000</v>
      </c>
      <c r="I52" s="155"/>
      <c r="J52" s="155"/>
      <c r="K52" s="155">
        <v>1.07</v>
      </c>
      <c r="L52" s="155" t="s">
        <v>16</v>
      </c>
      <c r="M52" s="361"/>
      <c r="N52" s="13"/>
      <c r="O52" s="13"/>
      <c r="P52" s="155" t="s">
        <v>16</v>
      </c>
      <c r="Q52" s="344"/>
      <c r="R52" s="13"/>
      <c r="S52" s="13"/>
      <c r="T52" s="300">
        <v>100</v>
      </c>
      <c r="V52" s="229">
        <v>56</v>
      </c>
    </row>
    <row r="53" spans="1:22" ht="15.75" customHeight="1" thickBot="1">
      <c r="A53" s="156">
        <v>17</v>
      </c>
      <c r="B53" s="151">
        <v>2</v>
      </c>
      <c r="C53" s="146" t="s">
        <v>15</v>
      </c>
      <c r="D53" s="146" t="s">
        <v>17</v>
      </c>
      <c r="E53" s="152">
        <v>97.4</v>
      </c>
      <c r="F53" s="152">
        <f t="shared" si="0"/>
        <v>2.5999999999999943</v>
      </c>
      <c r="G53" s="2">
        <v>1732000</v>
      </c>
      <c r="H53" s="16">
        <v>1451000</v>
      </c>
      <c r="I53" s="144"/>
      <c r="J53" s="144"/>
      <c r="K53" s="144">
        <v>1.2</v>
      </c>
      <c r="L53" s="144" t="s">
        <v>16</v>
      </c>
      <c r="M53" s="358"/>
      <c r="N53" s="146"/>
      <c r="O53" s="146"/>
      <c r="P53" s="144" t="s">
        <v>16</v>
      </c>
      <c r="Q53" s="340"/>
      <c r="R53" s="146"/>
      <c r="S53" s="146"/>
      <c r="T53" s="297">
        <v>100</v>
      </c>
      <c r="V53" s="229">
        <v>57</v>
      </c>
    </row>
    <row r="54" spans="1:22" ht="15.75" customHeight="1">
      <c r="A54" s="154">
        <v>18</v>
      </c>
      <c r="B54" s="12">
        <v>1</v>
      </c>
      <c r="C54" s="13" t="s">
        <v>15</v>
      </c>
      <c r="D54" s="13" t="s">
        <v>17</v>
      </c>
      <c r="E54" s="14">
        <f t="shared" ref="E54:E67" si="1">100-F54</f>
        <v>72.599999999999994</v>
      </c>
      <c r="F54" s="14">
        <v>27.4</v>
      </c>
      <c r="G54" s="17">
        <v>125330</v>
      </c>
      <c r="H54" s="13">
        <v>61470</v>
      </c>
      <c r="I54" s="4"/>
      <c r="J54" s="4"/>
      <c r="K54" s="4"/>
      <c r="L54" s="4" t="s">
        <v>16</v>
      </c>
      <c r="M54" s="359"/>
      <c r="P54" s="4" t="s">
        <v>16</v>
      </c>
      <c r="T54" s="302">
        <v>100</v>
      </c>
      <c r="V54" s="229">
        <v>58</v>
      </c>
    </row>
    <row r="55" spans="1:22" ht="15.75" customHeight="1">
      <c r="A55" s="157">
        <v>18</v>
      </c>
      <c r="B55" s="7">
        <v>2</v>
      </c>
      <c r="C55" s="5" t="s">
        <v>15</v>
      </c>
      <c r="D55" s="5" t="s">
        <v>17</v>
      </c>
      <c r="E55" s="9">
        <f t="shared" si="1"/>
        <v>70.8</v>
      </c>
      <c r="F55" s="9">
        <v>29.2</v>
      </c>
      <c r="G55" s="17">
        <v>337979</v>
      </c>
      <c r="H55" s="5">
        <v>105252</v>
      </c>
      <c r="I55" s="4"/>
      <c r="J55" s="4"/>
      <c r="K55" s="4"/>
      <c r="L55" s="4" t="s">
        <v>16</v>
      </c>
      <c r="M55" s="359"/>
      <c r="P55" s="4" t="s">
        <v>16</v>
      </c>
      <c r="T55" s="302">
        <v>100</v>
      </c>
      <c r="V55" s="229">
        <v>59</v>
      </c>
    </row>
    <row r="56" spans="1:22" ht="15.75" customHeight="1">
      <c r="A56" s="157">
        <v>18</v>
      </c>
      <c r="B56" s="7">
        <v>3</v>
      </c>
      <c r="C56" s="5" t="s">
        <v>15</v>
      </c>
      <c r="D56" s="5" t="s">
        <v>17</v>
      </c>
      <c r="E56" s="9">
        <f t="shared" si="1"/>
        <v>77.5</v>
      </c>
      <c r="F56" s="9">
        <v>22.5</v>
      </c>
      <c r="G56" s="17">
        <v>80509</v>
      </c>
      <c r="H56" s="5">
        <v>35575</v>
      </c>
      <c r="I56" s="4"/>
      <c r="J56" s="4"/>
      <c r="K56" s="4"/>
      <c r="L56" s="4" t="s">
        <v>16</v>
      </c>
      <c r="M56" s="359"/>
      <c r="P56" s="4" t="s">
        <v>16</v>
      </c>
      <c r="T56" s="302">
        <v>100</v>
      </c>
      <c r="V56" s="229">
        <v>60</v>
      </c>
    </row>
    <row r="57" spans="1:22" ht="15.75" customHeight="1">
      <c r="A57" s="157">
        <v>18</v>
      </c>
      <c r="B57" s="7">
        <v>4</v>
      </c>
      <c r="C57" s="5" t="s">
        <v>15</v>
      </c>
      <c r="D57" s="5" t="s">
        <v>17</v>
      </c>
      <c r="E57" s="9">
        <f t="shared" si="1"/>
        <v>79.7</v>
      </c>
      <c r="F57" s="9">
        <v>20.3</v>
      </c>
      <c r="G57" s="17">
        <v>250588</v>
      </c>
      <c r="H57" s="5">
        <v>76752</v>
      </c>
      <c r="I57" s="4"/>
      <c r="J57" s="4"/>
      <c r="K57" s="4"/>
      <c r="L57" s="4" t="s">
        <v>16</v>
      </c>
      <c r="M57" s="359"/>
      <c r="P57" s="4" t="s">
        <v>16</v>
      </c>
      <c r="T57" s="302">
        <v>100</v>
      </c>
      <c r="V57" s="229">
        <v>61</v>
      </c>
    </row>
    <row r="58" spans="1:22" ht="15.75" customHeight="1">
      <c r="A58" s="157">
        <v>18</v>
      </c>
      <c r="B58" s="7">
        <v>5</v>
      </c>
      <c r="C58" s="5" t="s">
        <v>15</v>
      </c>
      <c r="D58" s="5" t="s">
        <v>17</v>
      </c>
      <c r="E58" s="9">
        <f t="shared" si="1"/>
        <v>86.2</v>
      </c>
      <c r="F58" s="9">
        <v>13.8</v>
      </c>
      <c r="G58" s="17">
        <v>170849</v>
      </c>
      <c r="H58" s="5">
        <v>54624</v>
      </c>
      <c r="I58" s="4"/>
      <c r="J58" s="4"/>
      <c r="K58" s="4"/>
      <c r="L58" s="4" t="s">
        <v>16</v>
      </c>
      <c r="M58" s="359"/>
      <c r="P58" s="4" t="s">
        <v>16</v>
      </c>
      <c r="T58" s="302">
        <v>100</v>
      </c>
      <c r="V58" s="229">
        <v>62</v>
      </c>
    </row>
    <row r="59" spans="1:22" ht="15.75" customHeight="1">
      <c r="A59" s="157">
        <v>18</v>
      </c>
      <c r="B59" s="7">
        <v>6</v>
      </c>
      <c r="C59" s="5" t="s">
        <v>15</v>
      </c>
      <c r="D59" s="5" t="s">
        <v>17</v>
      </c>
      <c r="E59" s="9">
        <f t="shared" si="1"/>
        <v>64.935064935064929</v>
      </c>
      <c r="F59" s="9">
        <f>0.54/1.54*100</f>
        <v>35.064935064935064</v>
      </c>
      <c r="G59" s="17">
        <v>115908</v>
      </c>
      <c r="H59" s="5">
        <v>50442</v>
      </c>
      <c r="I59" s="4"/>
      <c r="J59" s="4"/>
      <c r="K59" s="4"/>
      <c r="L59" s="4" t="s">
        <v>16</v>
      </c>
      <c r="M59" s="359"/>
      <c r="P59" s="4" t="s">
        <v>16</v>
      </c>
      <c r="T59" s="302">
        <v>100</v>
      </c>
      <c r="V59" s="229">
        <v>63</v>
      </c>
    </row>
    <row r="60" spans="1:22" ht="15.75" customHeight="1">
      <c r="A60" s="157">
        <v>18</v>
      </c>
      <c r="B60" s="7">
        <v>7</v>
      </c>
      <c r="C60" s="5" t="s">
        <v>15</v>
      </c>
      <c r="D60" s="5" t="s">
        <v>17</v>
      </c>
      <c r="E60" s="9">
        <f t="shared" si="1"/>
        <v>72.602739726027394</v>
      </c>
      <c r="F60" s="9">
        <f>1.2/(3.18+1.2)*100</f>
        <v>27.397260273972602</v>
      </c>
      <c r="G60" s="17">
        <v>176394</v>
      </c>
      <c r="H60" s="5">
        <v>66464</v>
      </c>
      <c r="I60" s="4"/>
      <c r="J60" s="4"/>
      <c r="K60" s="4"/>
      <c r="L60" s="4" t="s">
        <v>16</v>
      </c>
      <c r="M60" s="359"/>
      <c r="P60" s="4" t="s">
        <v>16</v>
      </c>
      <c r="T60" s="302">
        <v>100</v>
      </c>
      <c r="V60" s="229">
        <v>64</v>
      </c>
    </row>
    <row r="61" spans="1:22" ht="15.75" customHeight="1">
      <c r="A61" s="157">
        <v>18</v>
      </c>
      <c r="B61" s="7">
        <v>8</v>
      </c>
      <c r="C61" s="5" t="s">
        <v>15</v>
      </c>
      <c r="D61" s="5" t="s">
        <v>17</v>
      </c>
      <c r="E61" s="9">
        <f t="shared" si="1"/>
        <v>75.115207373271886</v>
      </c>
      <c r="F61" s="9">
        <f>1.08/(3.26+1.08)*100</f>
        <v>24.884792626728114</v>
      </c>
      <c r="G61" s="17">
        <v>345465</v>
      </c>
      <c r="H61" s="5">
        <v>140753</v>
      </c>
      <c r="I61" s="4"/>
      <c r="J61" s="4"/>
      <c r="K61" s="4"/>
      <c r="L61" s="4" t="s">
        <v>16</v>
      </c>
      <c r="M61" s="359"/>
      <c r="P61" s="4" t="s">
        <v>16</v>
      </c>
      <c r="T61" s="302">
        <v>100</v>
      </c>
      <c r="V61" s="229">
        <v>65</v>
      </c>
    </row>
    <row r="62" spans="1:22" ht="15.75" customHeight="1">
      <c r="A62" s="157">
        <v>18</v>
      </c>
      <c r="B62" s="7">
        <v>9</v>
      </c>
      <c r="C62" s="5" t="s">
        <v>15</v>
      </c>
      <c r="D62" s="5" t="s">
        <v>17</v>
      </c>
      <c r="E62" s="9">
        <f t="shared" si="1"/>
        <v>74.5995423340961</v>
      </c>
      <c r="F62" s="9">
        <f>1.11/4.37*100</f>
        <v>25.400457665903893</v>
      </c>
      <c r="G62" s="17">
        <v>365390</v>
      </c>
      <c r="H62" s="5">
        <v>145918</v>
      </c>
      <c r="I62" s="4"/>
      <c r="J62" s="4"/>
      <c r="K62" s="4"/>
      <c r="L62" s="4" t="s">
        <v>16</v>
      </c>
      <c r="M62" s="359"/>
      <c r="P62" s="4" t="s">
        <v>16</v>
      </c>
      <c r="T62" s="302">
        <v>100</v>
      </c>
      <c r="V62" s="229">
        <v>66</v>
      </c>
    </row>
    <row r="63" spans="1:22" ht="15.75" customHeight="1">
      <c r="A63" s="157">
        <v>18</v>
      </c>
      <c r="B63" s="7">
        <v>10</v>
      </c>
      <c r="C63" s="5" t="s">
        <v>15</v>
      </c>
      <c r="D63" s="5" t="s">
        <v>17</v>
      </c>
      <c r="E63" s="9">
        <f t="shared" si="1"/>
        <v>79.716981132075475</v>
      </c>
      <c r="F63" s="9">
        <f>0.86/(3.38+0.86)*100</f>
        <v>20.283018867924525</v>
      </c>
      <c r="G63" s="17">
        <v>232746</v>
      </c>
      <c r="H63" s="5">
        <v>73183</v>
      </c>
      <c r="I63" s="4"/>
      <c r="J63" s="4"/>
      <c r="K63" s="4"/>
      <c r="L63" s="4" t="s">
        <v>16</v>
      </c>
      <c r="M63" s="359"/>
      <c r="P63" s="4" t="s">
        <v>16</v>
      </c>
      <c r="T63" s="302">
        <v>100</v>
      </c>
      <c r="V63" s="229">
        <v>67</v>
      </c>
    </row>
    <row r="64" spans="1:22" ht="15.75" customHeight="1">
      <c r="A64" s="157">
        <v>18</v>
      </c>
      <c r="B64" s="7">
        <v>11</v>
      </c>
      <c r="C64" s="5" t="s">
        <v>15</v>
      </c>
      <c r="D64" s="5" t="s">
        <v>17</v>
      </c>
      <c r="E64" s="9">
        <f t="shared" si="1"/>
        <v>79.761904761904759</v>
      </c>
      <c r="F64" s="9">
        <f>0.85/(3.35+0.85)*100</f>
        <v>20.238095238095237</v>
      </c>
      <c r="G64" s="17">
        <v>268430</v>
      </c>
      <c r="H64" s="5">
        <v>80321</v>
      </c>
      <c r="I64" s="4"/>
      <c r="J64" s="4"/>
      <c r="K64" s="4"/>
      <c r="L64" s="4" t="s">
        <v>16</v>
      </c>
      <c r="M64" s="359"/>
      <c r="P64" s="4" t="s">
        <v>16</v>
      </c>
      <c r="T64" s="302">
        <v>100</v>
      </c>
      <c r="V64" s="229">
        <v>68</v>
      </c>
    </row>
    <row r="65" spans="1:22" ht="15.75" customHeight="1">
      <c r="A65" s="157">
        <v>18</v>
      </c>
      <c r="B65" s="7">
        <v>12</v>
      </c>
      <c r="C65" s="5" t="s">
        <v>15</v>
      </c>
      <c r="D65" s="5" t="s">
        <v>17</v>
      </c>
      <c r="E65" s="9">
        <f t="shared" si="1"/>
        <v>77.093596059113295</v>
      </c>
      <c r="F65" s="9">
        <f>0.93/(3.13+0.93)*100</f>
        <v>22.906403940886701</v>
      </c>
      <c r="G65" s="17">
        <v>156576</v>
      </c>
      <c r="H65" s="5">
        <v>52063</v>
      </c>
      <c r="I65" s="4"/>
      <c r="J65" s="4"/>
      <c r="K65" s="4"/>
      <c r="L65" s="4" t="s">
        <v>16</v>
      </c>
      <c r="M65" s="359"/>
      <c r="P65" s="4" t="s">
        <v>16</v>
      </c>
      <c r="T65" s="302">
        <v>100</v>
      </c>
      <c r="V65" s="229">
        <v>69</v>
      </c>
    </row>
    <row r="66" spans="1:22" ht="15.75" customHeight="1">
      <c r="A66" s="157">
        <v>18</v>
      </c>
      <c r="B66" s="7">
        <v>13</v>
      </c>
      <c r="C66" s="5" t="s">
        <v>15</v>
      </c>
      <c r="D66" s="5" t="s">
        <v>17</v>
      </c>
      <c r="E66" s="9">
        <f t="shared" si="1"/>
        <v>84.426229508196727</v>
      </c>
      <c r="F66" s="9">
        <f>0.19/1.22*100</f>
        <v>15.573770491803279</v>
      </c>
      <c r="G66" s="17">
        <v>372673</v>
      </c>
      <c r="H66" s="5">
        <v>125268</v>
      </c>
      <c r="I66" s="4"/>
      <c r="J66" s="4"/>
      <c r="K66" s="4"/>
      <c r="L66" s="4" t="s">
        <v>16</v>
      </c>
      <c r="M66" s="359"/>
      <c r="P66" s="4" t="s">
        <v>16</v>
      </c>
      <c r="T66" s="302">
        <v>100</v>
      </c>
      <c r="V66" s="229">
        <v>70</v>
      </c>
    </row>
    <row r="67" spans="1:22" ht="15.75" customHeight="1" thickBot="1">
      <c r="A67" s="157">
        <v>18</v>
      </c>
      <c r="B67" s="7">
        <v>14</v>
      </c>
      <c r="C67" s="5" t="s">
        <v>15</v>
      </c>
      <c r="D67" s="5" t="s">
        <v>17</v>
      </c>
      <c r="E67" s="9">
        <f t="shared" si="1"/>
        <v>77.586206896551715</v>
      </c>
      <c r="F67" s="9">
        <f>0.91/(0.91+3.15)*100</f>
        <v>22.413793103448278</v>
      </c>
      <c r="G67" s="17">
        <v>278082</v>
      </c>
      <c r="H67" s="5">
        <v>79241</v>
      </c>
      <c r="I67" s="4"/>
      <c r="J67" s="4"/>
      <c r="K67" s="4"/>
      <c r="L67" s="4" t="s">
        <v>16</v>
      </c>
      <c r="M67" s="359"/>
      <c r="P67" s="4" t="s">
        <v>16</v>
      </c>
      <c r="T67" s="298">
        <v>100</v>
      </c>
      <c r="V67" s="229">
        <v>71</v>
      </c>
    </row>
    <row r="68" spans="1:22" ht="15.75" customHeight="1" thickBot="1">
      <c r="A68" s="158">
        <v>19</v>
      </c>
      <c r="B68" s="159">
        <v>1</v>
      </c>
      <c r="C68" s="160" t="s">
        <v>15</v>
      </c>
      <c r="D68" s="160" t="s">
        <v>17</v>
      </c>
      <c r="E68" s="160">
        <v>100</v>
      </c>
      <c r="F68" s="160">
        <v>0</v>
      </c>
      <c r="G68" s="18">
        <v>800000</v>
      </c>
      <c r="H68" s="160"/>
      <c r="I68" s="160"/>
      <c r="J68" s="160"/>
      <c r="K68" s="160"/>
      <c r="L68" s="161" t="s">
        <v>16</v>
      </c>
      <c r="M68" s="346"/>
      <c r="N68" s="160"/>
      <c r="O68" s="162"/>
      <c r="P68" s="161" t="s">
        <v>16</v>
      </c>
      <c r="Q68" s="346"/>
      <c r="R68" s="162"/>
      <c r="S68" s="162"/>
      <c r="T68" s="301">
        <v>100</v>
      </c>
      <c r="V68" s="229">
        <v>72</v>
      </c>
    </row>
    <row r="69" spans="1:22" ht="15.75" customHeight="1">
      <c r="A69" s="19">
        <v>20</v>
      </c>
      <c r="B69" s="20">
        <v>1</v>
      </c>
      <c r="C69" s="17" t="s">
        <v>15</v>
      </c>
      <c r="D69" s="17" t="s">
        <v>17</v>
      </c>
      <c r="E69" s="17">
        <v>87</v>
      </c>
      <c r="F69" s="17">
        <v>13</v>
      </c>
      <c r="G69" s="21">
        <v>420000</v>
      </c>
      <c r="H69" s="17"/>
      <c r="I69" s="17"/>
      <c r="J69" s="17"/>
      <c r="K69" s="17"/>
      <c r="L69" s="22" t="s">
        <v>16</v>
      </c>
      <c r="M69" s="347"/>
      <c r="N69" s="17"/>
      <c r="O69" s="17"/>
      <c r="P69" s="22" t="s">
        <v>16</v>
      </c>
      <c r="Q69" s="347"/>
      <c r="R69" s="23"/>
      <c r="S69" s="23"/>
      <c r="T69" s="302">
        <v>100</v>
      </c>
      <c r="V69" s="229">
        <v>73</v>
      </c>
    </row>
    <row r="70" spans="1:22" ht="15.75" customHeight="1">
      <c r="A70" s="19">
        <v>20</v>
      </c>
      <c r="B70" s="20">
        <v>2</v>
      </c>
      <c r="C70" s="17" t="s">
        <v>15</v>
      </c>
      <c r="D70" s="17" t="s">
        <v>17</v>
      </c>
      <c r="E70" s="17">
        <v>87</v>
      </c>
      <c r="F70" s="17">
        <v>13</v>
      </c>
      <c r="G70" s="21">
        <v>420000</v>
      </c>
      <c r="H70" s="17"/>
      <c r="I70" s="17"/>
      <c r="J70" s="17"/>
      <c r="K70" s="17"/>
      <c r="L70" s="22" t="s">
        <v>18</v>
      </c>
      <c r="M70" s="334" t="s">
        <v>688</v>
      </c>
      <c r="N70" s="17" t="s">
        <v>19</v>
      </c>
      <c r="O70" s="22">
        <v>0.5</v>
      </c>
      <c r="P70" s="4" t="s">
        <v>16</v>
      </c>
      <c r="Q70" s="347"/>
      <c r="R70" s="23"/>
      <c r="S70" s="23"/>
      <c r="T70" s="327">
        <v>99.5</v>
      </c>
      <c r="V70" s="229">
        <v>74</v>
      </c>
    </row>
    <row r="71" spans="1:22" ht="15.75" customHeight="1">
      <c r="A71" s="19">
        <v>20</v>
      </c>
      <c r="B71" s="20">
        <v>3</v>
      </c>
      <c r="C71" s="17" t="s">
        <v>15</v>
      </c>
      <c r="D71" s="17" t="s">
        <v>17</v>
      </c>
      <c r="E71" s="17">
        <v>87</v>
      </c>
      <c r="F71" s="17">
        <v>13</v>
      </c>
      <c r="G71" s="21">
        <v>420000</v>
      </c>
      <c r="H71" s="17"/>
      <c r="I71" s="17"/>
      <c r="J71" s="17"/>
      <c r="K71" s="17"/>
      <c r="L71" s="22" t="s">
        <v>18</v>
      </c>
      <c r="M71" s="334" t="s">
        <v>688</v>
      </c>
      <c r="N71" s="17" t="s">
        <v>19</v>
      </c>
      <c r="O71" s="17">
        <v>1</v>
      </c>
      <c r="P71" s="4" t="s">
        <v>16</v>
      </c>
      <c r="Q71" s="347"/>
      <c r="R71" s="23"/>
      <c r="S71" s="23"/>
      <c r="T71" s="302">
        <v>99</v>
      </c>
      <c r="V71" s="229">
        <v>75</v>
      </c>
    </row>
    <row r="72" spans="1:22" ht="15.75" customHeight="1">
      <c r="A72" s="19">
        <v>20</v>
      </c>
      <c r="B72" s="20">
        <v>4</v>
      </c>
      <c r="C72" s="17" t="s">
        <v>15</v>
      </c>
      <c r="D72" s="17" t="s">
        <v>17</v>
      </c>
      <c r="E72" s="17">
        <v>87</v>
      </c>
      <c r="F72" s="17">
        <v>13</v>
      </c>
      <c r="G72" s="21">
        <v>420000</v>
      </c>
      <c r="H72" s="17"/>
      <c r="I72" s="17"/>
      <c r="J72" s="17"/>
      <c r="K72" s="17"/>
      <c r="L72" s="22" t="s">
        <v>18</v>
      </c>
      <c r="M72" s="334" t="s">
        <v>688</v>
      </c>
      <c r="N72" s="17" t="s">
        <v>19</v>
      </c>
      <c r="O72" s="17">
        <v>2</v>
      </c>
      <c r="P72" s="4" t="s">
        <v>16</v>
      </c>
      <c r="Q72" s="347"/>
      <c r="R72" s="23"/>
      <c r="S72" s="23"/>
      <c r="T72" s="302">
        <v>98</v>
      </c>
      <c r="V72" s="229">
        <v>76</v>
      </c>
    </row>
    <row r="73" spans="1:22" ht="15.75" customHeight="1">
      <c r="A73" s="19">
        <v>20</v>
      </c>
      <c r="B73" s="20">
        <v>5</v>
      </c>
      <c r="C73" s="17" t="s">
        <v>15</v>
      </c>
      <c r="D73" s="17" t="s">
        <v>17</v>
      </c>
      <c r="E73" s="17">
        <v>87</v>
      </c>
      <c r="F73" s="17">
        <v>13</v>
      </c>
      <c r="G73" s="21">
        <v>420000</v>
      </c>
      <c r="H73" s="17"/>
      <c r="I73" s="17"/>
      <c r="J73" s="17"/>
      <c r="K73" s="17"/>
      <c r="L73" s="22" t="s">
        <v>18</v>
      </c>
      <c r="M73" s="334" t="s">
        <v>688</v>
      </c>
      <c r="N73" s="17" t="s">
        <v>19</v>
      </c>
      <c r="O73" s="17">
        <v>5</v>
      </c>
      <c r="P73" s="4" t="s">
        <v>16</v>
      </c>
      <c r="Q73" s="347"/>
      <c r="R73" s="23"/>
      <c r="S73" s="23"/>
      <c r="T73" s="302">
        <v>95</v>
      </c>
      <c r="V73" s="229">
        <v>77</v>
      </c>
    </row>
    <row r="74" spans="1:22" ht="15.75" customHeight="1" thickBot="1">
      <c r="A74" s="163">
        <v>20</v>
      </c>
      <c r="B74" s="164">
        <v>6</v>
      </c>
      <c r="C74" s="165" t="s">
        <v>15</v>
      </c>
      <c r="D74" s="165" t="s">
        <v>17</v>
      </c>
      <c r="E74" s="165">
        <v>87</v>
      </c>
      <c r="F74" s="165">
        <v>13</v>
      </c>
      <c r="G74" s="24">
        <v>420000</v>
      </c>
      <c r="H74" s="165"/>
      <c r="I74" s="165"/>
      <c r="J74" s="165"/>
      <c r="K74" s="165"/>
      <c r="L74" s="166" t="s">
        <v>18</v>
      </c>
      <c r="M74" s="352" t="s">
        <v>688</v>
      </c>
      <c r="N74" s="165" t="s">
        <v>19</v>
      </c>
      <c r="O74" s="165">
        <v>10</v>
      </c>
      <c r="P74" s="295" t="s">
        <v>16</v>
      </c>
      <c r="Q74" s="348"/>
      <c r="R74" s="167"/>
      <c r="S74" s="167"/>
      <c r="T74" s="303">
        <v>90</v>
      </c>
      <c r="V74" s="229">
        <v>78</v>
      </c>
    </row>
    <row r="75" spans="1:22" ht="15.75" customHeight="1">
      <c r="A75" s="19">
        <v>21</v>
      </c>
      <c r="B75" s="20">
        <v>1</v>
      </c>
      <c r="C75" s="17" t="s">
        <v>15</v>
      </c>
      <c r="D75" s="17" t="s">
        <v>17</v>
      </c>
      <c r="E75" s="17">
        <v>98</v>
      </c>
      <c r="F75" s="17">
        <v>2</v>
      </c>
      <c r="G75" s="21">
        <v>340000</v>
      </c>
      <c r="H75" s="17"/>
      <c r="I75" s="17"/>
      <c r="J75" s="17"/>
      <c r="K75" s="17"/>
      <c r="L75" s="22" t="s">
        <v>16</v>
      </c>
      <c r="M75" s="347"/>
      <c r="N75" s="17"/>
      <c r="O75" s="17"/>
      <c r="P75" s="22" t="s">
        <v>16</v>
      </c>
      <c r="Q75" s="347"/>
      <c r="R75" s="23"/>
      <c r="S75" s="23"/>
      <c r="T75" s="298">
        <v>100</v>
      </c>
      <c r="V75" s="229">
        <v>79</v>
      </c>
    </row>
    <row r="76" spans="1:22" ht="15.75" customHeight="1">
      <c r="A76" s="19">
        <v>21</v>
      </c>
      <c r="B76" s="20">
        <v>2</v>
      </c>
      <c r="C76" s="17" t="s">
        <v>15</v>
      </c>
      <c r="D76" s="17" t="s">
        <v>17</v>
      </c>
      <c r="E76" s="17">
        <v>98</v>
      </c>
      <c r="F76" s="17">
        <v>2</v>
      </c>
      <c r="G76" s="21">
        <v>340000</v>
      </c>
      <c r="H76" s="17"/>
      <c r="I76" s="17"/>
      <c r="J76" s="17"/>
      <c r="K76" s="17"/>
      <c r="L76" s="132" t="s">
        <v>18</v>
      </c>
      <c r="M76" s="334" t="s">
        <v>688</v>
      </c>
      <c r="N76" s="17" t="s">
        <v>20</v>
      </c>
      <c r="O76" s="17">
        <v>3</v>
      </c>
      <c r="P76" s="4" t="s">
        <v>16</v>
      </c>
      <c r="R76" s="23"/>
      <c r="S76" s="23"/>
      <c r="T76" s="298">
        <v>97</v>
      </c>
      <c r="V76" s="229">
        <v>80</v>
      </c>
    </row>
    <row r="77" spans="1:22" ht="15.75" customHeight="1">
      <c r="A77" s="19">
        <v>21</v>
      </c>
      <c r="B77" s="20">
        <v>3</v>
      </c>
      <c r="C77" s="17" t="s">
        <v>15</v>
      </c>
      <c r="D77" s="17" t="s">
        <v>17</v>
      </c>
      <c r="E77" s="17">
        <v>98</v>
      </c>
      <c r="F77" s="17">
        <v>2</v>
      </c>
      <c r="G77" s="21">
        <v>340000</v>
      </c>
      <c r="H77" s="17"/>
      <c r="I77" s="17"/>
      <c r="J77" s="17"/>
      <c r="K77" s="17"/>
      <c r="L77" s="132" t="s">
        <v>18</v>
      </c>
      <c r="M77" s="334" t="s">
        <v>688</v>
      </c>
      <c r="N77" s="17" t="s">
        <v>21</v>
      </c>
      <c r="O77" s="17">
        <v>3</v>
      </c>
      <c r="P77" s="4" t="s">
        <v>16</v>
      </c>
      <c r="R77" s="23"/>
      <c r="S77" s="23"/>
      <c r="T77" s="298">
        <v>97</v>
      </c>
      <c r="V77" s="229">
        <v>81</v>
      </c>
    </row>
    <row r="78" spans="1:22" ht="15.75" customHeight="1" thickBot="1">
      <c r="A78" s="19">
        <v>21</v>
      </c>
      <c r="B78" s="20">
        <v>4</v>
      </c>
      <c r="C78" s="17" t="s">
        <v>15</v>
      </c>
      <c r="D78" s="17" t="s">
        <v>17</v>
      </c>
      <c r="E78" s="17">
        <v>98</v>
      </c>
      <c r="F78" s="17">
        <v>2</v>
      </c>
      <c r="G78" s="21">
        <v>340000</v>
      </c>
      <c r="H78" s="17"/>
      <c r="I78" s="17"/>
      <c r="J78" s="17"/>
      <c r="K78" s="17"/>
      <c r="L78" s="132" t="s">
        <v>18</v>
      </c>
      <c r="M78" s="352" t="s">
        <v>688</v>
      </c>
      <c r="N78" s="17" t="s">
        <v>22</v>
      </c>
      <c r="O78" s="17">
        <v>3</v>
      </c>
      <c r="P78" s="4" t="s">
        <v>16</v>
      </c>
      <c r="R78" s="23"/>
      <c r="S78" s="23"/>
      <c r="T78" s="298">
        <v>97</v>
      </c>
      <c r="V78" s="229">
        <v>82</v>
      </c>
    </row>
    <row r="79" spans="1:22" ht="15.75" customHeight="1" thickBot="1">
      <c r="A79" s="25">
        <v>22</v>
      </c>
      <c r="B79" s="159">
        <v>1</v>
      </c>
      <c r="C79" s="160" t="s">
        <v>15</v>
      </c>
      <c r="D79" s="160" t="s">
        <v>17</v>
      </c>
      <c r="E79" s="160">
        <v>100</v>
      </c>
      <c r="F79" s="160">
        <v>0</v>
      </c>
      <c r="G79" s="18">
        <v>1020000</v>
      </c>
      <c r="H79" s="160"/>
      <c r="I79" s="160"/>
      <c r="J79" s="160"/>
      <c r="K79" s="160">
        <v>2</v>
      </c>
      <c r="L79" s="161" t="s">
        <v>16</v>
      </c>
      <c r="M79" s="346"/>
      <c r="N79" s="160"/>
      <c r="O79" s="160"/>
      <c r="P79" s="161" t="s">
        <v>16</v>
      </c>
      <c r="Q79" s="346"/>
      <c r="R79" s="162"/>
      <c r="S79" s="162"/>
      <c r="T79" s="301">
        <v>100</v>
      </c>
      <c r="V79" s="229">
        <v>83</v>
      </c>
    </row>
    <row r="80" spans="1:22" ht="15.75" customHeight="1">
      <c r="A80" s="280">
        <v>23</v>
      </c>
      <c r="B80" s="20">
        <v>1</v>
      </c>
      <c r="C80" s="17" t="s">
        <v>15</v>
      </c>
      <c r="D80" s="17" t="s">
        <v>17</v>
      </c>
      <c r="E80" s="17">
        <v>100</v>
      </c>
      <c r="F80" s="17">
        <v>0</v>
      </c>
      <c r="G80" s="26"/>
      <c r="H80" s="23"/>
      <c r="I80" s="23"/>
      <c r="J80" s="23"/>
      <c r="K80" s="23"/>
      <c r="L80" s="22" t="s">
        <v>16</v>
      </c>
      <c r="M80" s="347"/>
      <c r="N80" s="23"/>
      <c r="O80" s="23"/>
      <c r="P80" s="22" t="s">
        <v>16</v>
      </c>
      <c r="Q80" s="347"/>
      <c r="R80" s="23"/>
      <c r="S80" s="23"/>
      <c r="T80" s="298">
        <v>100</v>
      </c>
      <c r="V80" s="229">
        <v>84</v>
      </c>
    </row>
    <row r="81" spans="1:22" ht="15.75" customHeight="1">
      <c r="A81" s="280">
        <v>23</v>
      </c>
      <c r="B81" s="20">
        <v>2</v>
      </c>
      <c r="C81" s="17" t="s">
        <v>15</v>
      </c>
      <c r="D81" s="17" t="s">
        <v>17</v>
      </c>
      <c r="E81" s="17">
        <v>97</v>
      </c>
      <c r="F81" s="17">
        <v>3</v>
      </c>
      <c r="G81" s="26"/>
      <c r="H81" s="23"/>
      <c r="I81" s="23"/>
      <c r="J81" s="23"/>
      <c r="K81" s="23"/>
      <c r="L81" s="22" t="s">
        <v>16</v>
      </c>
      <c r="M81" s="347"/>
      <c r="N81" s="23"/>
      <c r="O81" s="23"/>
      <c r="P81" s="22" t="s">
        <v>16</v>
      </c>
      <c r="Q81" s="347"/>
      <c r="R81" s="23"/>
      <c r="S81" s="23"/>
      <c r="T81" s="298">
        <v>100</v>
      </c>
      <c r="V81" s="229">
        <v>85</v>
      </c>
    </row>
    <row r="82" spans="1:22" ht="15.75" customHeight="1">
      <c r="A82" s="280">
        <v>23</v>
      </c>
      <c r="B82" s="20">
        <v>3</v>
      </c>
      <c r="C82" s="17" t="s">
        <v>15</v>
      </c>
      <c r="D82" s="17" t="s">
        <v>17</v>
      </c>
      <c r="E82" s="17">
        <v>91</v>
      </c>
      <c r="F82" s="17">
        <v>9</v>
      </c>
      <c r="G82" s="26"/>
      <c r="H82" s="23"/>
      <c r="I82" s="23"/>
      <c r="J82" s="23"/>
      <c r="K82" s="23"/>
      <c r="L82" s="22" t="s">
        <v>16</v>
      </c>
      <c r="M82" s="347"/>
      <c r="N82" s="23"/>
      <c r="O82" s="23"/>
      <c r="P82" s="22" t="s">
        <v>16</v>
      </c>
      <c r="Q82" s="347"/>
      <c r="R82" s="23"/>
      <c r="S82" s="23"/>
      <c r="T82" s="298">
        <v>100</v>
      </c>
      <c r="V82" s="229">
        <v>86</v>
      </c>
    </row>
    <row r="83" spans="1:22" ht="15.75" customHeight="1">
      <c r="A83" s="280">
        <v>23</v>
      </c>
      <c r="B83" s="20">
        <v>4</v>
      </c>
      <c r="C83" s="17" t="s">
        <v>15</v>
      </c>
      <c r="D83" s="17" t="s">
        <v>17</v>
      </c>
      <c r="E83" s="17">
        <v>86</v>
      </c>
      <c r="F83" s="17">
        <v>14</v>
      </c>
      <c r="G83" s="26"/>
      <c r="H83" s="23"/>
      <c r="I83" s="23"/>
      <c r="J83" s="23"/>
      <c r="K83" s="23"/>
      <c r="L83" s="22" t="s">
        <v>16</v>
      </c>
      <c r="M83" s="347"/>
      <c r="N83" s="23"/>
      <c r="O83" s="23"/>
      <c r="P83" s="22" t="s">
        <v>16</v>
      </c>
      <c r="Q83" s="347"/>
      <c r="R83" s="23"/>
      <c r="S83" s="23"/>
      <c r="T83" s="298">
        <v>100</v>
      </c>
      <c r="V83" s="229">
        <v>87</v>
      </c>
    </row>
    <row r="84" spans="1:22" ht="15.75" customHeight="1">
      <c r="A84" s="280">
        <v>23</v>
      </c>
      <c r="B84" s="20">
        <v>5</v>
      </c>
      <c r="C84" s="17" t="s">
        <v>15</v>
      </c>
      <c r="D84" s="17" t="s">
        <v>17</v>
      </c>
      <c r="E84" s="17">
        <v>80</v>
      </c>
      <c r="F84" s="17">
        <v>20</v>
      </c>
      <c r="G84" s="26"/>
      <c r="H84" s="23"/>
      <c r="I84" s="23"/>
      <c r="J84" s="23"/>
      <c r="K84" s="23"/>
      <c r="L84" s="22" t="s">
        <v>16</v>
      </c>
      <c r="M84" s="347"/>
      <c r="N84" s="23"/>
      <c r="O84" s="23"/>
      <c r="P84" s="22" t="s">
        <v>16</v>
      </c>
      <c r="Q84" s="347"/>
      <c r="R84" s="23"/>
      <c r="S84" s="23"/>
      <c r="T84" s="298">
        <v>100</v>
      </c>
      <c r="V84" s="229">
        <v>88</v>
      </c>
    </row>
    <row r="85" spans="1:22" ht="15.75" customHeight="1" thickBot="1">
      <c r="A85" s="280">
        <v>23</v>
      </c>
      <c r="B85" s="20">
        <v>6</v>
      </c>
      <c r="C85" s="17" t="s">
        <v>15</v>
      </c>
      <c r="D85" s="17" t="s">
        <v>17</v>
      </c>
      <c r="E85" s="17">
        <v>25</v>
      </c>
      <c r="F85" s="17">
        <v>75</v>
      </c>
      <c r="G85" s="26"/>
      <c r="H85" s="23"/>
      <c r="I85" s="23"/>
      <c r="J85" s="23"/>
      <c r="K85" s="23"/>
      <c r="L85" s="22" t="s">
        <v>16</v>
      </c>
      <c r="M85" s="347"/>
      <c r="N85" s="23"/>
      <c r="O85" s="23"/>
      <c r="P85" s="22" t="s">
        <v>16</v>
      </c>
      <c r="Q85" s="347"/>
      <c r="R85" s="23"/>
      <c r="S85" s="23"/>
      <c r="T85" s="298">
        <v>100</v>
      </c>
      <c r="V85" s="229">
        <v>89</v>
      </c>
    </row>
    <row r="86" spans="1:22" ht="15.75" customHeight="1">
      <c r="A86" s="281">
        <v>24</v>
      </c>
      <c r="B86" s="168">
        <v>1</v>
      </c>
      <c r="C86" s="169" t="s">
        <v>15</v>
      </c>
      <c r="D86" s="169" t="s">
        <v>17</v>
      </c>
      <c r="E86" s="169">
        <v>100</v>
      </c>
      <c r="F86" s="169">
        <v>0</v>
      </c>
      <c r="G86" s="27"/>
      <c r="H86" s="170"/>
      <c r="I86" s="170"/>
      <c r="J86" s="170"/>
      <c r="K86" s="170"/>
      <c r="L86" s="171" t="s">
        <v>16</v>
      </c>
      <c r="M86" s="349"/>
      <c r="N86" s="170"/>
      <c r="O86" s="170"/>
      <c r="P86" s="171" t="s">
        <v>16</v>
      </c>
      <c r="Q86" s="349"/>
      <c r="R86" s="170"/>
      <c r="S86" s="170"/>
      <c r="T86" s="300">
        <v>100</v>
      </c>
      <c r="V86" s="229">
        <v>90</v>
      </c>
    </row>
    <row r="87" spans="1:22" ht="15.75" customHeight="1">
      <c r="A87" s="280">
        <v>24</v>
      </c>
      <c r="B87" s="20">
        <v>2</v>
      </c>
      <c r="C87" s="17" t="s">
        <v>15</v>
      </c>
      <c r="D87" s="17" t="s">
        <v>17</v>
      </c>
      <c r="E87" s="17">
        <v>11</v>
      </c>
      <c r="F87" s="17">
        <v>89</v>
      </c>
      <c r="G87" s="26"/>
      <c r="H87" s="23"/>
      <c r="I87" s="23"/>
      <c r="J87" s="23"/>
      <c r="K87" s="23"/>
      <c r="L87" s="22" t="s">
        <v>16</v>
      </c>
      <c r="M87" s="347"/>
      <c r="N87" s="23"/>
      <c r="O87" s="23"/>
      <c r="P87" s="22" t="s">
        <v>16</v>
      </c>
      <c r="Q87" s="347"/>
      <c r="R87" s="23"/>
      <c r="S87" s="23"/>
      <c r="T87" s="298">
        <v>100</v>
      </c>
      <c r="V87" s="229">
        <v>91</v>
      </c>
    </row>
    <row r="88" spans="1:22" ht="15.75" customHeight="1">
      <c r="A88" s="280">
        <v>24</v>
      </c>
      <c r="B88" s="20">
        <v>3</v>
      </c>
      <c r="C88" s="17" t="s">
        <v>15</v>
      </c>
      <c r="D88" s="17" t="s">
        <v>17</v>
      </c>
      <c r="E88" s="17">
        <v>20</v>
      </c>
      <c r="F88" s="17">
        <v>80</v>
      </c>
      <c r="G88" s="26"/>
      <c r="H88" s="23"/>
      <c r="I88" s="23"/>
      <c r="J88" s="23"/>
      <c r="K88" s="23"/>
      <c r="L88" s="22" t="s">
        <v>16</v>
      </c>
      <c r="M88" s="347"/>
      <c r="N88" s="23"/>
      <c r="O88" s="23"/>
      <c r="P88" s="22" t="s">
        <v>16</v>
      </c>
      <c r="Q88" s="347"/>
      <c r="R88" s="23"/>
      <c r="S88" s="23"/>
      <c r="T88" s="298">
        <v>100</v>
      </c>
      <c r="V88" s="229">
        <v>92</v>
      </c>
    </row>
    <row r="89" spans="1:22" ht="15.75" customHeight="1">
      <c r="A89" s="280">
        <v>24</v>
      </c>
      <c r="B89" s="20">
        <v>4</v>
      </c>
      <c r="C89" s="17" t="s">
        <v>15</v>
      </c>
      <c r="D89" s="17" t="s">
        <v>17</v>
      </c>
      <c r="E89" s="17">
        <v>28</v>
      </c>
      <c r="F89" s="17">
        <v>72</v>
      </c>
      <c r="G89" s="26"/>
      <c r="H89" s="23"/>
      <c r="I89" s="23"/>
      <c r="J89" s="23"/>
      <c r="K89" s="23"/>
      <c r="L89" s="22" t="s">
        <v>16</v>
      </c>
      <c r="M89" s="347"/>
      <c r="N89" s="23"/>
      <c r="O89" s="23"/>
      <c r="P89" s="22" t="s">
        <v>16</v>
      </c>
      <c r="Q89" s="347"/>
      <c r="R89" s="23"/>
      <c r="S89" s="23"/>
      <c r="T89" s="298">
        <v>100</v>
      </c>
      <c r="V89" s="229">
        <v>93</v>
      </c>
    </row>
    <row r="90" spans="1:22" ht="15.75" customHeight="1" thickBot="1">
      <c r="A90" s="282">
        <v>24</v>
      </c>
      <c r="B90" s="164">
        <v>5</v>
      </c>
      <c r="C90" s="165" t="s">
        <v>15</v>
      </c>
      <c r="D90" s="165" t="s">
        <v>17</v>
      </c>
      <c r="E90" s="165">
        <v>34</v>
      </c>
      <c r="F90" s="165">
        <v>66</v>
      </c>
      <c r="G90" s="28"/>
      <c r="H90" s="167"/>
      <c r="I90" s="167"/>
      <c r="J90" s="167"/>
      <c r="K90" s="167"/>
      <c r="L90" s="166" t="s">
        <v>16</v>
      </c>
      <c r="M90" s="348"/>
      <c r="N90" s="167"/>
      <c r="O90" s="167"/>
      <c r="P90" s="166" t="s">
        <v>16</v>
      </c>
      <c r="Q90" s="348"/>
      <c r="R90" s="167"/>
      <c r="S90" s="167"/>
      <c r="T90" s="297">
        <v>100</v>
      </c>
      <c r="V90" s="229">
        <v>94</v>
      </c>
    </row>
    <row r="91" spans="1:22" ht="15.75" customHeight="1">
      <c r="A91" s="283">
        <v>25</v>
      </c>
      <c r="B91" s="286">
        <v>1</v>
      </c>
      <c r="C91" s="17" t="s">
        <v>15</v>
      </c>
      <c r="D91" s="17" t="s">
        <v>17</v>
      </c>
      <c r="E91" s="17">
        <v>97</v>
      </c>
      <c r="F91" s="17">
        <v>3</v>
      </c>
      <c r="G91" s="21">
        <v>400000</v>
      </c>
      <c r="H91" s="23"/>
      <c r="I91" s="23"/>
      <c r="J91" s="23"/>
      <c r="K91" s="23"/>
      <c r="L91" s="22" t="s">
        <v>16</v>
      </c>
      <c r="M91" s="347"/>
      <c r="N91" s="23"/>
      <c r="O91" s="23"/>
      <c r="P91" s="22" t="s">
        <v>16</v>
      </c>
      <c r="Q91" s="347"/>
      <c r="R91" s="23"/>
      <c r="S91" s="23"/>
      <c r="T91" s="298">
        <v>100</v>
      </c>
      <c r="V91" s="229">
        <v>95</v>
      </c>
    </row>
    <row r="92" spans="1:22" ht="15.75" customHeight="1">
      <c r="A92" s="283">
        <v>25</v>
      </c>
      <c r="B92" s="287">
        <v>2</v>
      </c>
      <c r="C92" s="23"/>
      <c r="D92" s="23"/>
      <c r="E92" s="23"/>
      <c r="F92" s="23"/>
      <c r="G92" s="26"/>
      <c r="H92" s="23"/>
      <c r="I92" s="23"/>
      <c r="J92" s="23"/>
      <c r="K92" s="23"/>
      <c r="L92" s="22" t="s">
        <v>16</v>
      </c>
      <c r="M92" s="347"/>
      <c r="N92" s="23"/>
      <c r="O92" s="23"/>
      <c r="P92" s="22" t="s">
        <v>16</v>
      </c>
      <c r="Q92" s="347"/>
      <c r="R92" s="23"/>
      <c r="S92" s="23"/>
      <c r="T92" s="298">
        <v>100</v>
      </c>
      <c r="V92" s="229">
        <v>96</v>
      </c>
    </row>
    <row r="93" spans="1:22" ht="15.75" customHeight="1">
      <c r="A93" s="283">
        <v>25</v>
      </c>
      <c r="B93" s="287">
        <v>3</v>
      </c>
      <c r="C93" s="23"/>
      <c r="D93" s="23"/>
      <c r="E93" s="23"/>
      <c r="F93" s="23"/>
      <c r="G93" s="26"/>
      <c r="H93" s="23"/>
      <c r="I93" s="23"/>
      <c r="J93" s="23"/>
      <c r="K93" s="23"/>
      <c r="L93" s="22" t="s">
        <v>16</v>
      </c>
      <c r="M93" s="347"/>
      <c r="N93" s="23"/>
      <c r="O93" s="23"/>
      <c r="P93" s="22" t="s">
        <v>16</v>
      </c>
      <c r="Q93" s="347"/>
      <c r="R93" s="23"/>
      <c r="S93" s="23"/>
      <c r="T93" s="298">
        <v>100</v>
      </c>
      <c r="V93" s="229">
        <v>97</v>
      </c>
    </row>
    <row r="94" spans="1:22" ht="15.75" customHeight="1" thickBot="1">
      <c r="A94" s="283">
        <v>25</v>
      </c>
      <c r="B94" s="287">
        <v>4</v>
      </c>
      <c r="C94" s="23"/>
      <c r="D94" s="23"/>
      <c r="E94" s="23"/>
      <c r="F94" s="23"/>
      <c r="G94" s="26"/>
      <c r="H94" s="23"/>
      <c r="I94" s="23"/>
      <c r="J94" s="23"/>
      <c r="K94" s="23"/>
      <c r="L94" s="22" t="s">
        <v>16</v>
      </c>
      <c r="M94" s="347"/>
      <c r="N94" s="23"/>
      <c r="O94" s="23"/>
      <c r="P94" s="22" t="s">
        <v>16</v>
      </c>
      <c r="Q94" s="347"/>
      <c r="R94" s="23"/>
      <c r="S94" s="23"/>
      <c r="T94" s="298">
        <v>100</v>
      </c>
      <c r="V94" s="229">
        <v>98</v>
      </c>
    </row>
    <row r="95" spans="1:22" ht="15.75" customHeight="1">
      <c r="A95" s="284">
        <v>26</v>
      </c>
      <c r="B95" s="288">
        <v>1</v>
      </c>
      <c r="C95" s="169" t="s">
        <v>15</v>
      </c>
      <c r="D95" s="169" t="s">
        <v>17</v>
      </c>
      <c r="E95" s="169">
        <v>88</v>
      </c>
      <c r="F95" s="169">
        <v>12</v>
      </c>
      <c r="G95" s="27"/>
      <c r="H95" s="170"/>
      <c r="I95" s="170"/>
      <c r="J95" s="170"/>
      <c r="K95" s="170"/>
      <c r="L95" s="171" t="s">
        <v>16</v>
      </c>
      <c r="M95" s="349"/>
      <c r="N95" s="170"/>
      <c r="O95" s="170"/>
      <c r="P95" s="171" t="s">
        <v>16</v>
      </c>
      <c r="Q95" s="349"/>
      <c r="R95" s="170"/>
      <c r="S95" s="170"/>
      <c r="T95" s="300">
        <v>100</v>
      </c>
      <c r="V95" s="229">
        <v>99</v>
      </c>
    </row>
    <row r="96" spans="1:22" ht="15.75" customHeight="1">
      <c r="A96" s="283">
        <v>26</v>
      </c>
      <c r="B96" s="289">
        <v>2</v>
      </c>
      <c r="C96" s="17" t="s">
        <v>15</v>
      </c>
      <c r="D96" s="17" t="s">
        <v>17</v>
      </c>
      <c r="E96" s="17">
        <v>88</v>
      </c>
      <c r="F96" s="17">
        <v>12</v>
      </c>
      <c r="G96" s="26"/>
      <c r="H96" s="23"/>
      <c r="I96" s="23"/>
      <c r="J96" s="23"/>
      <c r="K96" s="23"/>
      <c r="L96" s="22" t="s">
        <v>18</v>
      </c>
      <c r="M96" s="334" t="s">
        <v>688</v>
      </c>
      <c r="N96" s="17" t="s">
        <v>23</v>
      </c>
      <c r="O96" s="17">
        <v>0.3</v>
      </c>
      <c r="P96" s="22" t="s">
        <v>16</v>
      </c>
      <c r="Q96" s="347"/>
      <c r="R96" s="23"/>
      <c r="S96" s="23"/>
      <c r="T96" s="298">
        <v>99.7</v>
      </c>
      <c r="V96" s="229">
        <v>100</v>
      </c>
    </row>
    <row r="97" spans="1:22" ht="15.75" customHeight="1" thickBot="1">
      <c r="A97" s="285">
        <v>26</v>
      </c>
      <c r="B97" s="290">
        <v>3</v>
      </c>
      <c r="C97" s="165" t="s">
        <v>15</v>
      </c>
      <c r="D97" s="165" t="s">
        <v>17</v>
      </c>
      <c r="E97" s="165">
        <v>88</v>
      </c>
      <c r="F97" s="165">
        <v>12</v>
      </c>
      <c r="G97" s="28"/>
      <c r="H97" s="167"/>
      <c r="I97" s="167"/>
      <c r="J97" s="167"/>
      <c r="K97" s="167"/>
      <c r="L97" s="166" t="s">
        <v>18</v>
      </c>
      <c r="M97" s="352" t="s">
        <v>688</v>
      </c>
      <c r="N97" s="165" t="s">
        <v>23</v>
      </c>
      <c r="O97" s="165">
        <v>0.3</v>
      </c>
      <c r="P97" s="166" t="s">
        <v>18</v>
      </c>
      <c r="Q97" s="348" t="s">
        <v>688</v>
      </c>
      <c r="R97" s="167" t="s">
        <v>24</v>
      </c>
      <c r="S97" s="294"/>
      <c r="T97" s="297">
        <v>99.7</v>
      </c>
      <c r="V97" s="229">
        <v>101</v>
      </c>
    </row>
    <row r="98" spans="1:22" ht="15.75" customHeight="1">
      <c r="A98" s="283">
        <v>27</v>
      </c>
      <c r="B98" s="289">
        <v>1</v>
      </c>
      <c r="C98" s="17" t="s">
        <v>15</v>
      </c>
      <c r="D98" s="17" t="s">
        <v>17</v>
      </c>
      <c r="E98" s="17">
        <v>97</v>
      </c>
      <c r="F98" s="17">
        <v>3</v>
      </c>
      <c r="G98" s="26"/>
      <c r="H98" s="23"/>
      <c r="I98" s="23"/>
      <c r="J98" s="23"/>
      <c r="K98" s="23"/>
      <c r="L98" s="22" t="s">
        <v>16</v>
      </c>
      <c r="M98" s="347"/>
      <c r="N98" s="23"/>
      <c r="O98" s="23"/>
      <c r="P98" s="22" t="s">
        <v>16</v>
      </c>
      <c r="Q98" s="347"/>
      <c r="R98" s="23"/>
      <c r="S98" s="23"/>
      <c r="T98" s="298">
        <v>100</v>
      </c>
      <c r="V98" s="229">
        <v>102</v>
      </c>
    </row>
    <row r="99" spans="1:22" ht="15.75" customHeight="1">
      <c r="A99" s="283">
        <v>27</v>
      </c>
      <c r="B99" s="289">
        <v>2</v>
      </c>
      <c r="C99" s="17" t="s">
        <v>15</v>
      </c>
      <c r="D99" s="17" t="s">
        <v>17</v>
      </c>
      <c r="E99" s="17">
        <v>97</v>
      </c>
      <c r="F99" s="17">
        <v>3</v>
      </c>
      <c r="G99" s="26"/>
      <c r="H99" s="23"/>
      <c r="I99" s="23"/>
      <c r="J99" s="23"/>
      <c r="K99" s="23"/>
      <c r="L99" s="22" t="s">
        <v>18</v>
      </c>
      <c r="M99" s="334" t="s">
        <v>687</v>
      </c>
      <c r="N99" s="17" t="s">
        <v>24</v>
      </c>
      <c r="O99" s="22">
        <v>25</v>
      </c>
      <c r="P99" s="22" t="s">
        <v>16</v>
      </c>
      <c r="Q99" s="347"/>
      <c r="R99" s="23"/>
      <c r="S99" s="29"/>
      <c r="T99" s="304">
        <v>75</v>
      </c>
      <c r="V99" s="229">
        <v>103</v>
      </c>
    </row>
    <row r="100" spans="1:22" ht="15.75" customHeight="1" thickBot="1">
      <c r="A100" s="283">
        <v>27</v>
      </c>
      <c r="B100" s="289">
        <v>3</v>
      </c>
      <c r="C100" s="17" t="s">
        <v>15</v>
      </c>
      <c r="D100" s="17" t="s">
        <v>17</v>
      </c>
      <c r="E100" s="17">
        <v>97</v>
      </c>
      <c r="F100" s="17">
        <v>3</v>
      </c>
      <c r="G100" s="26"/>
      <c r="H100" s="23"/>
      <c r="I100" s="23"/>
      <c r="J100" s="23"/>
      <c r="K100" s="23"/>
      <c r="L100" s="22" t="s">
        <v>18</v>
      </c>
      <c r="M100" s="334" t="s">
        <v>687</v>
      </c>
      <c r="N100" s="332" t="s">
        <v>24</v>
      </c>
      <c r="O100" s="22">
        <v>50</v>
      </c>
      <c r="P100" s="22" t="s">
        <v>16</v>
      </c>
      <c r="Q100" s="347"/>
      <c r="R100" s="23"/>
      <c r="S100" s="29"/>
      <c r="T100" s="304">
        <v>50</v>
      </c>
      <c r="V100" s="229">
        <v>104</v>
      </c>
    </row>
    <row r="101" spans="1:22" ht="15.75" customHeight="1" thickBot="1">
      <c r="A101" s="284">
        <v>28</v>
      </c>
      <c r="B101" s="291">
        <v>1</v>
      </c>
      <c r="C101" s="169" t="s">
        <v>15</v>
      </c>
      <c r="D101" s="169" t="s">
        <v>17</v>
      </c>
      <c r="E101" s="169">
        <v>88</v>
      </c>
      <c r="F101" s="169">
        <v>12</v>
      </c>
      <c r="G101" s="27"/>
      <c r="H101" s="170"/>
      <c r="I101" s="171">
        <v>1.25</v>
      </c>
      <c r="J101" s="171" t="s">
        <v>25</v>
      </c>
      <c r="K101" s="170"/>
      <c r="L101" s="331" t="s">
        <v>18</v>
      </c>
      <c r="M101" s="349"/>
      <c r="N101" s="17" t="s">
        <v>680</v>
      </c>
      <c r="O101" s="169">
        <v>10</v>
      </c>
      <c r="P101" s="171" t="s">
        <v>16</v>
      </c>
      <c r="Q101" s="349"/>
      <c r="R101" s="170"/>
      <c r="S101" s="170"/>
      <c r="T101" s="300">
        <v>90</v>
      </c>
      <c r="V101" s="229">
        <v>105</v>
      </c>
    </row>
    <row r="102" spans="1:22" ht="15.75" customHeight="1" thickBot="1">
      <c r="A102" s="173">
        <v>29</v>
      </c>
      <c r="B102" s="292">
        <v>1</v>
      </c>
      <c r="C102" s="169" t="s">
        <v>15</v>
      </c>
      <c r="D102" s="169" t="s">
        <v>17</v>
      </c>
      <c r="E102" s="174">
        <v>100</v>
      </c>
      <c r="F102" s="174">
        <v>0</v>
      </c>
      <c r="G102" s="30"/>
      <c r="H102" s="174">
        <v>650000</v>
      </c>
      <c r="I102" s="175"/>
      <c r="J102" s="175"/>
      <c r="K102" s="174">
        <v>1.8</v>
      </c>
      <c r="L102" s="174" t="s">
        <v>16</v>
      </c>
      <c r="M102" s="350"/>
      <c r="N102" s="176"/>
      <c r="O102" s="176"/>
      <c r="P102" s="174" t="s">
        <v>16</v>
      </c>
      <c r="Q102" s="350"/>
      <c r="R102" s="176"/>
      <c r="S102" s="176"/>
      <c r="T102" s="305">
        <v>100</v>
      </c>
      <c r="V102" s="229">
        <v>107</v>
      </c>
    </row>
    <row r="103" spans="1:22" ht="15.75" customHeight="1" thickBot="1">
      <c r="A103" s="32">
        <v>30</v>
      </c>
      <c r="B103" s="293">
        <v>1</v>
      </c>
      <c r="C103" s="177" t="s">
        <v>15</v>
      </c>
      <c r="D103" s="177" t="s">
        <v>17</v>
      </c>
      <c r="E103" s="178">
        <f>100-F103</f>
        <v>98</v>
      </c>
      <c r="F103" s="179">
        <v>2</v>
      </c>
      <c r="G103" s="33"/>
      <c r="H103" s="180"/>
      <c r="I103" s="181">
        <v>1.24</v>
      </c>
      <c r="J103" s="181" t="s">
        <v>25</v>
      </c>
      <c r="K103" s="182"/>
      <c r="L103" s="177" t="s">
        <v>16</v>
      </c>
      <c r="M103" s="351"/>
      <c r="N103" s="183"/>
      <c r="O103" s="183"/>
      <c r="P103" s="177" t="s">
        <v>16</v>
      </c>
      <c r="Q103" s="351"/>
      <c r="R103" s="183"/>
      <c r="S103" s="183"/>
      <c r="T103" s="306">
        <v>100</v>
      </c>
      <c r="V103" s="229">
        <v>108</v>
      </c>
    </row>
    <row r="104" spans="1:22" ht="15.75" customHeight="1">
      <c r="A104" s="173">
        <v>31</v>
      </c>
      <c r="B104" s="184">
        <v>1</v>
      </c>
      <c r="C104" s="174" t="s">
        <v>15</v>
      </c>
      <c r="D104" s="174" t="s">
        <v>17</v>
      </c>
      <c r="E104" s="174">
        <v>100</v>
      </c>
      <c r="F104" s="174">
        <v>0</v>
      </c>
      <c r="G104" s="22">
        <v>440000</v>
      </c>
      <c r="H104" s="174">
        <v>260000</v>
      </c>
      <c r="I104" s="176"/>
      <c r="J104" s="176"/>
      <c r="K104" s="176"/>
      <c r="L104" s="174" t="s">
        <v>16</v>
      </c>
      <c r="M104" s="350"/>
      <c r="N104" s="176"/>
      <c r="O104" s="176"/>
      <c r="P104" s="174" t="s">
        <v>16</v>
      </c>
      <c r="Q104" s="350"/>
      <c r="R104" s="176"/>
      <c r="S104" s="176"/>
      <c r="T104" s="304">
        <v>100</v>
      </c>
      <c r="V104" s="229">
        <v>109</v>
      </c>
    </row>
    <row r="105" spans="1:22" ht="15.75" customHeight="1">
      <c r="A105" s="185">
        <v>31</v>
      </c>
      <c r="B105" s="186">
        <v>2</v>
      </c>
      <c r="C105" s="132" t="s">
        <v>15</v>
      </c>
      <c r="D105" s="132" t="s">
        <v>17</v>
      </c>
      <c r="E105" s="132">
        <v>100</v>
      </c>
      <c r="F105" s="132">
        <v>0</v>
      </c>
      <c r="G105" s="22">
        <v>440000</v>
      </c>
      <c r="H105" s="132">
        <v>260000</v>
      </c>
      <c r="I105" s="35"/>
      <c r="J105" s="35"/>
      <c r="K105" s="35"/>
      <c r="L105" s="132" t="s">
        <v>18</v>
      </c>
      <c r="M105" s="334" t="s">
        <v>688</v>
      </c>
      <c r="N105" s="132" t="s">
        <v>26</v>
      </c>
      <c r="O105" s="132">
        <v>10</v>
      </c>
      <c r="P105" s="132" t="s">
        <v>16</v>
      </c>
      <c r="R105" s="35"/>
      <c r="S105" s="35"/>
      <c r="T105" s="298">
        <f t="shared" ref="T105:T108" si="2">100-O105</f>
        <v>90</v>
      </c>
      <c r="V105" s="229">
        <v>110</v>
      </c>
    </row>
    <row r="106" spans="1:22" ht="15.75" customHeight="1">
      <c r="A106" s="185">
        <v>31</v>
      </c>
      <c r="B106" s="186">
        <v>3</v>
      </c>
      <c r="C106" s="132" t="s">
        <v>15</v>
      </c>
      <c r="D106" s="132" t="s">
        <v>17</v>
      </c>
      <c r="E106" s="132">
        <v>100</v>
      </c>
      <c r="F106" s="132">
        <v>0</v>
      </c>
      <c r="G106" s="22">
        <v>440000</v>
      </c>
      <c r="H106" s="132">
        <v>260000</v>
      </c>
      <c r="I106" s="35"/>
      <c r="J106" s="35"/>
      <c r="K106" s="35"/>
      <c r="L106" s="132" t="s">
        <v>18</v>
      </c>
      <c r="M106" s="334" t="s">
        <v>688</v>
      </c>
      <c r="N106" s="132" t="s">
        <v>26</v>
      </c>
      <c r="O106" s="132">
        <v>20</v>
      </c>
      <c r="P106" s="132" t="s">
        <v>16</v>
      </c>
      <c r="R106" s="35"/>
      <c r="S106" s="35"/>
      <c r="T106" s="298">
        <f t="shared" si="2"/>
        <v>80</v>
      </c>
      <c r="V106" s="229">
        <v>111</v>
      </c>
    </row>
    <row r="107" spans="1:22" ht="15.75" customHeight="1">
      <c r="A107" s="185">
        <v>31</v>
      </c>
      <c r="B107" s="186">
        <v>4</v>
      </c>
      <c r="C107" s="132" t="s">
        <v>15</v>
      </c>
      <c r="D107" s="132" t="s">
        <v>17</v>
      </c>
      <c r="E107" s="132">
        <v>100</v>
      </c>
      <c r="F107" s="132">
        <v>0</v>
      </c>
      <c r="G107" s="22">
        <v>440000</v>
      </c>
      <c r="H107" s="132">
        <v>260000</v>
      </c>
      <c r="I107" s="35"/>
      <c r="J107" s="35"/>
      <c r="K107" s="35"/>
      <c r="L107" s="132" t="s">
        <v>18</v>
      </c>
      <c r="M107" s="334" t="s">
        <v>688</v>
      </c>
      <c r="N107" s="132" t="s">
        <v>26</v>
      </c>
      <c r="O107" s="132">
        <v>40</v>
      </c>
      <c r="P107" s="132" t="s">
        <v>16</v>
      </c>
      <c r="R107" s="35"/>
      <c r="S107" s="35"/>
      <c r="T107" s="298">
        <f t="shared" si="2"/>
        <v>60</v>
      </c>
      <c r="V107" s="229">
        <v>112</v>
      </c>
    </row>
    <row r="108" spans="1:22" ht="15.75" customHeight="1">
      <c r="A108" s="185">
        <v>31</v>
      </c>
      <c r="B108" s="186">
        <v>5</v>
      </c>
      <c r="C108" s="132" t="s">
        <v>15</v>
      </c>
      <c r="D108" s="132" t="s">
        <v>17</v>
      </c>
      <c r="E108" s="132">
        <v>100</v>
      </c>
      <c r="F108" s="132">
        <v>0</v>
      </c>
      <c r="G108" s="22">
        <v>440000</v>
      </c>
      <c r="H108" s="132">
        <v>260000</v>
      </c>
      <c r="I108" s="35"/>
      <c r="J108" s="35"/>
      <c r="K108" s="35"/>
      <c r="L108" s="132" t="s">
        <v>18</v>
      </c>
      <c r="M108" s="334" t="s">
        <v>688</v>
      </c>
      <c r="N108" s="132" t="s">
        <v>26</v>
      </c>
      <c r="O108" s="132">
        <v>50</v>
      </c>
      <c r="P108" s="132" t="s">
        <v>16</v>
      </c>
      <c r="R108" s="35"/>
      <c r="S108" s="35"/>
      <c r="T108" s="298">
        <f t="shared" si="2"/>
        <v>50</v>
      </c>
      <c r="V108" s="229">
        <v>113</v>
      </c>
    </row>
    <row r="109" spans="1:22" ht="15.75" customHeight="1" thickBot="1">
      <c r="A109" s="191">
        <v>32</v>
      </c>
      <c r="B109" s="188">
        <v>1</v>
      </c>
      <c r="C109" s="189" t="s">
        <v>15</v>
      </c>
      <c r="D109" s="189" t="s">
        <v>17</v>
      </c>
      <c r="E109" s="189">
        <v>17</v>
      </c>
      <c r="F109" s="189">
        <v>83</v>
      </c>
      <c r="G109" s="37">
        <v>2270000</v>
      </c>
      <c r="H109" s="189">
        <v>800000</v>
      </c>
      <c r="I109" s="190"/>
      <c r="J109" s="190"/>
      <c r="K109" s="190"/>
      <c r="L109" s="192" t="s">
        <v>16</v>
      </c>
      <c r="M109" s="352"/>
      <c r="N109" s="190"/>
      <c r="O109" s="190"/>
      <c r="P109" s="192" t="s">
        <v>16</v>
      </c>
      <c r="Q109" s="352"/>
      <c r="R109" s="190"/>
      <c r="S109" s="190"/>
      <c r="T109" s="307">
        <v>100</v>
      </c>
      <c r="V109" s="229">
        <v>118</v>
      </c>
    </row>
    <row r="110" spans="1:22" ht="15.75" customHeight="1">
      <c r="A110" s="193">
        <v>33</v>
      </c>
      <c r="B110" s="186">
        <v>1</v>
      </c>
      <c r="C110" s="132" t="s">
        <v>15</v>
      </c>
      <c r="D110" s="132" t="s">
        <v>17</v>
      </c>
      <c r="E110" s="132">
        <v>100</v>
      </c>
      <c r="F110" s="132">
        <v>0</v>
      </c>
      <c r="G110" s="17"/>
      <c r="H110" s="35"/>
      <c r="I110" s="132">
        <v>1.25</v>
      </c>
      <c r="J110" s="132" t="s">
        <v>25</v>
      </c>
      <c r="K110" s="35"/>
      <c r="L110" s="132" t="s">
        <v>16</v>
      </c>
      <c r="N110" s="35"/>
      <c r="O110" s="35"/>
      <c r="P110" s="132" t="s">
        <v>16</v>
      </c>
      <c r="R110" s="35"/>
      <c r="S110" s="35"/>
      <c r="T110" s="304">
        <v>100</v>
      </c>
      <c r="V110" s="229">
        <v>119</v>
      </c>
    </row>
    <row r="111" spans="1:22" ht="15.75" customHeight="1">
      <c r="A111" s="193">
        <v>33</v>
      </c>
      <c r="B111" s="186">
        <v>2</v>
      </c>
      <c r="C111" s="132" t="s">
        <v>15</v>
      </c>
      <c r="D111" s="132" t="s">
        <v>17</v>
      </c>
      <c r="E111" s="132">
        <v>100</v>
      </c>
      <c r="F111" s="132">
        <v>0</v>
      </c>
      <c r="G111" s="23"/>
      <c r="I111" s="132">
        <v>1.25</v>
      </c>
      <c r="J111" s="132" t="s">
        <v>25</v>
      </c>
      <c r="L111" s="132" t="s">
        <v>18</v>
      </c>
      <c r="M111" s="334" t="s">
        <v>688</v>
      </c>
      <c r="N111" s="132" t="s">
        <v>26</v>
      </c>
      <c r="O111" s="132">
        <v>0.5</v>
      </c>
      <c r="P111" s="132" t="s">
        <v>16</v>
      </c>
      <c r="T111" s="304">
        <v>99.5</v>
      </c>
      <c r="V111" s="229">
        <v>120</v>
      </c>
    </row>
    <row r="112" spans="1:22" ht="15.75" customHeight="1">
      <c r="A112" s="193">
        <v>33</v>
      </c>
      <c r="B112" s="186">
        <v>3</v>
      </c>
      <c r="C112" s="132" t="s">
        <v>15</v>
      </c>
      <c r="D112" s="132" t="s">
        <v>17</v>
      </c>
      <c r="E112" s="132">
        <v>100</v>
      </c>
      <c r="F112" s="132">
        <v>0</v>
      </c>
      <c r="G112" s="23"/>
      <c r="I112" s="132">
        <v>1.25</v>
      </c>
      <c r="J112" s="132" t="s">
        <v>25</v>
      </c>
      <c r="L112" s="132" t="s">
        <v>18</v>
      </c>
      <c r="M112" s="334" t="s">
        <v>688</v>
      </c>
      <c r="N112" s="132" t="s">
        <v>26</v>
      </c>
      <c r="O112" s="132">
        <v>2</v>
      </c>
      <c r="P112" s="132" t="s">
        <v>16</v>
      </c>
      <c r="T112" s="304">
        <v>98</v>
      </c>
      <c r="V112" s="229">
        <v>121</v>
      </c>
    </row>
    <row r="113" spans="1:22" ht="15.75" customHeight="1">
      <c r="A113" s="193">
        <v>33</v>
      </c>
      <c r="B113" s="186">
        <v>4</v>
      </c>
      <c r="C113" s="132" t="s">
        <v>15</v>
      </c>
      <c r="D113" s="132" t="s">
        <v>17</v>
      </c>
      <c r="E113" s="132">
        <v>100</v>
      </c>
      <c r="F113" s="132">
        <v>0</v>
      </c>
      <c r="G113" s="23"/>
      <c r="I113" s="132">
        <v>1.25</v>
      </c>
      <c r="J113" s="132" t="s">
        <v>25</v>
      </c>
      <c r="L113" s="132" t="s">
        <v>18</v>
      </c>
      <c r="M113" s="334" t="s">
        <v>688</v>
      </c>
      <c r="N113" s="132" t="s">
        <v>27</v>
      </c>
      <c r="O113" s="132">
        <v>0.5</v>
      </c>
      <c r="P113" s="132" t="s">
        <v>16</v>
      </c>
      <c r="T113" s="304">
        <v>99.5</v>
      </c>
      <c r="V113" s="229">
        <v>122</v>
      </c>
    </row>
    <row r="114" spans="1:22" ht="15.75" customHeight="1">
      <c r="A114" s="193">
        <v>33</v>
      </c>
      <c r="B114" s="186">
        <v>5</v>
      </c>
      <c r="C114" s="132" t="s">
        <v>15</v>
      </c>
      <c r="D114" s="132" t="s">
        <v>17</v>
      </c>
      <c r="E114" s="132">
        <v>100</v>
      </c>
      <c r="F114" s="132">
        <v>0</v>
      </c>
      <c r="G114" s="23"/>
      <c r="I114" s="132">
        <v>1.25</v>
      </c>
      <c r="J114" s="132" t="s">
        <v>25</v>
      </c>
      <c r="L114" s="132" t="s">
        <v>18</v>
      </c>
      <c r="M114" s="334" t="s">
        <v>688</v>
      </c>
      <c r="N114" s="132" t="s">
        <v>27</v>
      </c>
      <c r="O114" s="132">
        <v>2</v>
      </c>
      <c r="P114" s="132" t="s">
        <v>16</v>
      </c>
      <c r="T114" s="304">
        <v>98</v>
      </c>
      <c r="V114" s="229">
        <v>123</v>
      </c>
    </row>
    <row r="115" spans="1:22" ht="15.75" customHeight="1">
      <c r="A115" s="193">
        <v>33</v>
      </c>
      <c r="B115" s="186">
        <v>6</v>
      </c>
      <c r="C115" s="132" t="s">
        <v>15</v>
      </c>
      <c r="D115" s="132" t="s">
        <v>17</v>
      </c>
      <c r="E115" s="132">
        <v>100</v>
      </c>
      <c r="F115" s="132">
        <v>0</v>
      </c>
      <c r="G115" s="23"/>
      <c r="I115" s="132">
        <v>1.25</v>
      </c>
      <c r="J115" s="132" t="s">
        <v>25</v>
      </c>
      <c r="L115" s="132" t="s">
        <v>18</v>
      </c>
      <c r="M115" s="334" t="s">
        <v>688</v>
      </c>
      <c r="N115" s="132" t="s">
        <v>28</v>
      </c>
      <c r="O115" s="132">
        <v>0.5</v>
      </c>
      <c r="P115" s="132" t="s">
        <v>16</v>
      </c>
      <c r="T115" s="304">
        <v>99.5</v>
      </c>
      <c r="V115" s="229">
        <v>124</v>
      </c>
    </row>
    <row r="116" spans="1:22" ht="15.75" customHeight="1" thickBot="1">
      <c r="A116" s="191">
        <v>33</v>
      </c>
      <c r="B116" s="188">
        <v>7</v>
      </c>
      <c r="C116" s="189" t="s">
        <v>15</v>
      </c>
      <c r="D116" s="189" t="s">
        <v>17</v>
      </c>
      <c r="E116" s="189">
        <v>100</v>
      </c>
      <c r="F116" s="189">
        <v>0</v>
      </c>
      <c r="G116" s="39"/>
      <c r="H116" s="195"/>
      <c r="I116" s="189">
        <v>1.25</v>
      </c>
      <c r="J116" s="189" t="s">
        <v>25</v>
      </c>
      <c r="K116" s="195"/>
      <c r="L116" s="189" t="s">
        <v>18</v>
      </c>
      <c r="M116" s="353" t="s">
        <v>688</v>
      </c>
      <c r="N116" s="189" t="s">
        <v>28</v>
      </c>
      <c r="O116" s="189">
        <v>2</v>
      </c>
      <c r="P116" s="189" t="s">
        <v>16</v>
      </c>
      <c r="Q116" s="352"/>
      <c r="R116" s="195"/>
      <c r="S116" s="195"/>
      <c r="T116" s="308">
        <v>98</v>
      </c>
      <c r="V116" s="229">
        <v>125</v>
      </c>
    </row>
    <row r="117" spans="1:22" ht="15.75" customHeight="1">
      <c r="A117" s="193">
        <v>34</v>
      </c>
      <c r="B117" s="186">
        <v>1</v>
      </c>
      <c r="C117" s="132" t="s">
        <v>15</v>
      </c>
      <c r="D117" s="132" t="s">
        <v>17</v>
      </c>
      <c r="E117" s="132">
        <v>96.6</v>
      </c>
      <c r="F117" s="132">
        <v>3.4</v>
      </c>
      <c r="G117" s="23"/>
      <c r="L117" s="132" t="s">
        <v>16</v>
      </c>
      <c r="P117" s="132" t="s">
        <v>16</v>
      </c>
      <c r="S117" s="35"/>
      <c r="T117" s="304">
        <v>100</v>
      </c>
      <c r="V117" s="229">
        <v>126</v>
      </c>
    </row>
    <row r="118" spans="1:22" ht="15.75" customHeight="1">
      <c r="A118" s="193">
        <v>34</v>
      </c>
      <c r="B118" s="186">
        <v>2</v>
      </c>
      <c r="C118" s="132" t="s">
        <v>15</v>
      </c>
      <c r="D118" s="132" t="s">
        <v>17</v>
      </c>
      <c r="E118" s="132">
        <v>96.6</v>
      </c>
      <c r="F118" s="132">
        <v>3.4</v>
      </c>
      <c r="G118" s="23"/>
      <c r="L118" s="132" t="s">
        <v>18</v>
      </c>
      <c r="M118" s="334" t="s">
        <v>688</v>
      </c>
      <c r="N118" s="132" t="s">
        <v>29</v>
      </c>
      <c r="O118" s="132">
        <v>3</v>
      </c>
      <c r="P118" s="132" t="s">
        <v>16</v>
      </c>
      <c r="R118" s="35"/>
      <c r="S118" s="35"/>
      <c r="T118" s="304">
        <v>97</v>
      </c>
      <c r="V118" s="229">
        <v>127</v>
      </c>
    </row>
    <row r="119" spans="1:22" ht="15.75" customHeight="1">
      <c r="A119" s="193">
        <v>34</v>
      </c>
      <c r="B119" s="186">
        <v>3</v>
      </c>
      <c r="C119" s="132" t="s">
        <v>15</v>
      </c>
      <c r="D119" s="132" t="s">
        <v>17</v>
      </c>
      <c r="E119" s="132">
        <v>96.6</v>
      </c>
      <c r="F119" s="132">
        <v>3.4</v>
      </c>
      <c r="G119" s="23"/>
      <c r="L119" s="132" t="s">
        <v>18</v>
      </c>
      <c r="M119" s="334" t="s">
        <v>689</v>
      </c>
      <c r="N119" s="132" t="s">
        <v>30</v>
      </c>
      <c r="O119" s="132">
        <v>10</v>
      </c>
      <c r="P119" s="132" t="s">
        <v>16</v>
      </c>
      <c r="R119" s="35"/>
      <c r="S119" s="35"/>
      <c r="T119" s="304">
        <v>90</v>
      </c>
      <c r="V119" s="229">
        <v>128</v>
      </c>
    </row>
    <row r="120" spans="1:22" ht="15.75" customHeight="1">
      <c r="A120" s="193">
        <v>34</v>
      </c>
      <c r="B120" s="186">
        <v>4</v>
      </c>
      <c r="C120" s="132" t="s">
        <v>15</v>
      </c>
      <c r="D120" s="132" t="s">
        <v>17</v>
      </c>
      <c r="E120" s="132">
        <v>96.6</v>
      </c>
      <c r="F120" s="132">
        <v>3.4</v>
      </c>
      <c r="G120" s="23"/>
      <c r="L120" s="132" t="s">
        <v>18</v>
      </c>
      <c r="M120" s="334" t="s">
        <v>689</v>
      </c>
      <c r="N120" s="132" t="s">
        <v>30</v>
      </c>
      <c r="O120" s="132">
        <v>10</v>
      </c>
      <c r="P120" s="132" t="s">
        <v>18</v>
      </c>
      <c r="Q120" s="334" t="s">
        <v>688</v>
      </c>
      <c r="R120" s="132" t="s">
        <v>29</v>
      </c>
      <c r="S120" s="132">
        <v>3</v>
      </c>
      <c r="T120" s="304">
        <v>87</v>
      </c>
      <c r="V120" s="229">
        <v>129</v>
      </c>
    </row>
    <row r="121" spans="1:22" ht="15.75" customHeight="1">
      <c r="A121" s="193">
        <v>34</v>
      </c>
      <c r="B121" s="186">
        <v>5</v>
      </c>
      <c r="C121" s="132" t="s">
        <v>15</v>
      </c>
      <c r="D121" s="132" t="s">
        <v>17</v>
      </c>
      <c r="E121" s="132">
        <v>96.6</v>
      </c>
      <c r="F121" s="132">
        <v>3.4</v>
      </c>
      <c r="G121" s="23"/>
      <c r="L121" s="132" t="s">
        <v>18</v>
      </c>
      <c r="M121" s="334" t="s">
        <v>689</v>
      </c>
      <c r="N121" s="132" t="s">
        <v>31</v>
      </c>
      <c r="O121" s="132">
        <v>10</v>
      </c>
      <c r="P121" s="132" t="s">
        <v>16</v>
      </c>
      <c r="R121" s="35"/>
      <c r="S121" s="35"/>
      <c r="T121" s="304">
        <v>90</v>
      </c>
      <c r="V121" s="229">
        <v>130</v>
      </c>
    </row>
    <row r="122" spans="1:22" ht="15.75" customHeight="1">
      <c r="A122" s="193">
        <v>34</v>
      </c>
      <c r="B122" s="186">
        <v>6</v>
      </c>
      <c r="C122" s="132" t="s">
        <v>15</v>
      </c>
      <c r="D122" s="132" t="s">
        <v>17</v>
      </c>
      <c r="E122" s="132">
        <v>96.6</v>
      </c>
      <c r="F122" s="132">
        <v>3.4</v>
      </c>
      <c r="G122" s="23"/>
      <c r="L122" s="132" t="s">
        <v>18</v>
      </c>
      <c r="M122" s="334" t="s">
        <v>689</v>
      </c>
      <c r="N122" s="132" t="s">
        <v>31</v>
      </c>
      <c r="O122" s="132">
        <v>10</v>
      </c>
      <c r="P122" s="132" t="s">
        <v>18</v>
      </c>
      <c r="Q122" s="334" t="s">
        <v>688</v>
      </c>
      <c r="R122" s="132" t="s">
        <v>29</v>
      </c>
      <c r="S122" s="132">
        <v>3</v>
      </c>
      <c r="T122" s="304">
        <v>87</v>
      </c>
      <c r="V122" s="229">
        <v>131</v>
      </c>
    </row>
    <row r="123" spans="1:22" ht="15.75" customHeight="1">
      <c r="A123" s="193">
        <v>34</v>
      </c>
      <c r="B123" s="186">
        <v>7</v>
      </c>
      <c r="C123" s="132" t="s">
        <v>15</v>
      </c>
      <c r="D123" s="132" t="s">
        <v>17</v>
      </c>
      <c r="E123" s="132">
        <v>96.6</v>
      </c>
      <c r="F123" s="132">
        <v>3.4</v>
      </c>
      <c r="G123" s="23"/>
      <c r="L123" s="132" t="s">
        <v>18</v>
      </c>
      <c r="M123" s="334" t="s">
        <v>689</v>
      </c>
      <c r="N123" s="132" t="s">
        <v>32</v>
      </c>
      <c r="O123" s="132">
        <v>10</v>
      </c>
      <c r="P123" s="132" t="s">
        <v>16</v>
      </c>
      <c r="R123" s="35"/>
      <c r="S123" s="35"/>
      <c r="T123" s="304">
        <v>90</v>
      </c>
      <c r="V123" s="229">
        <v>132</v>
      </c>
    </row>
    <row r="124" spans="1:22" ht="15.75" customHeight="1" thickBot="1">
      <c r="A124" s="191">
        <v>34</v>
      </c>
      <c r="B124" s="188">
        <v>8</v>
      </c>
      <c r="C124" s="189" t="s">
        <v>15</v>
      </c>
      <c r="D124" s="189" t="s">
        <v>17</v>
      </c>
      <c r="E124" s="189">
        <v>96.6</v>
      </c>
      <c r="F124" s="189">
        <v>3.4</v>
      </c>
      <c r="G124" s="39"/>
      <c r="H124" s="195"/>
      <c r="I124" s="195"/>
      <c r="J124" s="195"/>
      <c r="K124" s="195"/>
      <c r="L124" s="189" t="s">
        <v>18</v>
      </c>
      <c r="M124" s="353" t="s">
        <v>689</v>
      </c>
      <c r="N124" s="189" t="s">
        <v>32</v>
      </c>
      <c r="O124" s="189">
        <v>10</v>
      </c>
      <c r="P124" s="189" t="s">
        <v>18</v>
      </c>
      <c r="Q124" s="353" t="s">
        <v>688</v>
      </c>
      <c r="R124" s="189" t="s">
        <v>29</v>
      </c>
      <c r="S124" s="189">
        <v>3</v>
      </c>
      <c r="T124" s="308">
        <v>87</v>
      </c>
      <c r="V124" s="229">
        <v>133</v>
      </c>
    </row>
    <row r="125" spans="1:22" ht="15.75" customHeight="1">
      <c r="A125" s="193">
        <v>35</v>
      </c>
      <c r="B125" s="186">
        <v>1</v>
      </c>
      <c r="C125" s="132" t="s">
        <v>15</v>
      </c>
      <c r="D125" s="132" t="s">
        <v>17</v>
      </c>
      <c r="E125" s="35">
        <v>98</v>
      </c>
      <c r="F125" s="35">
        <v>2</v>
      </c>
      <c r="G125" s="23"/>
      <c r="L125" s="132" t="s">
        <v>16</v>
      </c>
      <c r="N125" s="35"/>
      <c r="O125" s="35"/>
      <c r="P125" s="132" t="s">
        <v>16</v>
      </c>
      <c r="R125" s="35"/>
      <c r="S125" s="35"/>
      <c r="T125" s="298">
        <v>100</v>
      </c>
      <c r="V125" s="229">
        <v>134</v>
      </c>
    </row>
    <row r="126" spans="1:22" ht="15.75" customHeight="1">
      <c r="A126" s="193">
        <v>35</v>
      </c>
      <c r="B126" s="186">
        <v>2</v>
      </c>
      <c r="C126" s="132" t="s">
        <v>15</v>
      </c>
      <c r="D126" s="132" t="s">
        <v>17</v>
      </c>
      <c r="E126" s="35">
        <v>98</v>
      </c>
      <c r="F126" s="35">
        <v>2</v>
      </c>
      <c r="G126" s="23"/>
      <c r="L126" s="132" t="s">
        <v>18</v>
      </c>
      <c r="M126" s="334" t="s">
        <v>689</v>
      </c>
      <c r="N126" s="35" t="s">
        <v>33</v>
      </c>
      <c r="O126" s="35">
        <v>10</v>
      </c>
      <c r="P126" s="132" t="s">
        <v>16</v>
      </c>
      <c r="R126" s="35"/>
      <c r="S126" s="35"/>
      <c r="T126" s="298">
        <v>90</v>
      </c>
      <c r="V126" s="229">
        <v>135</v>
      </c>
    </row>
    <row r="127" spans="1:22" ht="15.75" customHeight="1">
      <c r="A127" s="193">
        <v>35</v>
      </c>
      <c r="B127" s="186">
        <v>3</v>
      </c>
      <c r="C127" s="132" t="s">
        <v>15</v>
      </c>
      <c r="D127" s="132" t="s">
        <v>17</v>
      </c>
      <c r="E127" s="35">
        <v>98</v>
      </c>
      <c r="F127" s="35">
        <v>2</v>
      </c>
      <c r="G127" s="23"/>
      <c r="L127" s="132" t="s">
        <v>18</v>
      </c>
      <c r="M127" s="334" t="s">
        <v>688</v>
      </c>
      <c r="N127" s="132" t="s">
        <v>29</v>
      </c>
      <c r="O127" s="35">
        <v>3</v>
      </c>
      <c r="P127" s="132" t="s">
        <v>16</v>
      </c>
      <c r="R127" s="35"/>
      <c r="S127" s="35"/>
      <c r="T127" s="298">
        <v>97</v>
      </c>
      <c r="V127" s="229">
        <v>136</v>
      </c>
    </row>
    <row r="128" spans="1:22" ht="15.75" customHeight="1">
      <c r="A128" s="193">
        <v>35</v>
      </c>
      <c r="B128" s="186">
        <v>4</v>
      </c>
      <c r="C128" s="132" t="s">
        <v>15</v>
      </c>
      <c r="D128" s="132" t="s">
        <v>17</v>
      </c>
      <c r="E128" s="35">
        <v>98</v>
      </c>
      <c r="F128" s="35">
        <v>2</v>
      </c>
      <c r="G128" s="23"/>
      <c r="L128" s="132" t="s">
        <v>18</v>
      </c>
      <c r="M128" s="334" t="s">
        <v>688</v>
      </c>
      <c r="N128" s="132" t="s">
        <v>29</v>
      </c>
      <c r="O128" s="35">
        <v>3</v>
      </c>
      <c r="P128" s="132" t="s">
        <v>18</v>
      </c>
      <c r="Q128" s="334" t="s">
        <v>689</v>
      </c>
      <c r="R128" s="35" t="s">
        <v>33</v>
      </c>
      <c r="S128" s="35">
        <v>10</v>
      </c>
      <c r="T128" s="298">
        <v>87</v>
      </c>
      <c r="V128" s="229">
        <v>137</v>
      </c>
    </row>
    <row r="129" spans="1:22" ht="15.75" customHeight="1">
      <c r="A129" s="193">
        <v>35</v>
      </c>
      <c r="B129" s="186">
        <v>5</v>
      </c>
      <c r="C129" s="132" t="s">
        <v>15</v>
      </c>
      <c r="D129" s="132" t="s">
        <v>17</v>
      </c>
      <c r="E129" s="35">
        <v>90</v>
      </c>
      <c r="F129" s="35">
        <v>10</v>
      </c>
      <c r="G129" s="23"/>
      <c r="L129" s="132" t="s">
        <v>16</v>
      </c>
      <c r="N129" s="35"/>
      <c r="O129" s="35"/>
      <c r="P129" s="132" t="s">
        <v>16</v>
      </c>
      <c r="R129" s="35"/>
      <c r="S129" s="35"/>
      <c r="T129" s="298">
        <v>100</v>
      </c>
      <c r="V129" s="229">
        <v>138</v>
      </c>
    </row>
    <row r="130" spans="1:22" ht="15.75" customHeight="1">
      <c r="A130" s="193">
        <v>35</v>
      </c>
      <c r="B130" s="186">
        <v>6</v>
      </c>
      <c r="C130" s="132" t="s">
        <v>15</v>
      </c>
      <c r="D130" s="132" t="s">
        <v>17</v>
      </c>
      <c r="E130" s="35">
        <v>90</v>
      </c>
      <c r="F130" s="35">
        <v>10</v>
      </c>
      <c r="G130" s="23"/>
      <c r="L130" s="132" t="s">
        <v>18</v>
      </c>
      <c r="M130" s="334" t="s">
        <v>689</v>
      </c>
      <c r="N130" s="35" t="s">
        <v>33</v>
      </c>
      <c r="O130" s="35">
        <v>10</v>
      </c>
      <c r="P130" s="132" t="s">
        <v>16</v>
      </c>
      <c r="R130" s="35"/>
      <c r="S130" s="35"/>
      <c r="T130" s="298">
        <v>90</v>
      </c>
      <c r="V130" s="229">
        <v>139</v>
      </c>
    </row>
    <row r="131" spans="1:22" ht="15.75" customHeight="1">
      <c r="A131" s="193">
        <v>35</v>
      </c>
      <c r="B131" s="186">
        <v>7</v>
      </c>
      <c r="C131" s="132" t="s">
        <v>15</v>
      </c>
      <c r="D131" s="132" t="s">
        <v>17</v>
      </c>
      <c r="E131" s="35">
        <v>90</v>
      </c>
      <c r="F131" s="35">
        <v>10</v>
      </c>
      <c r="G131" s="23"/>
      <c r="L131" s="132" t="s">
        <v>18</v>
      </c>
      <c r="M131" s="334" t="s">
        <v>688</v>
      </c>
      <c r="N131" s="35" t="s">
        <v>29</v>
      </c>
      <c r="O131" s="35">
        <v>3</v>
      </c>
      <c r="P131" s="132" t="s">
        <v>16</v>
      </c>
      <c r="R131" s="35"/>
      <c r="S131" s="35"/>
      <c r="T131" s="298">
        <v>97</v>
      </c>
      <c r="V131" s="229">
        <v>140</v>
      </c>
    </row>
    <row r="132" spans="1:22" ht="15.75" customHeight="1">
      <c r="A132" s="193">
        <v>35</v>
      </c>
      <c r="B132" s="186">
        <v>8</v>
      </c>
      <c r="C132" s="132" t="s">
        <v>15</v>
      </c>
      <c r="D132" s="132" t="s">
        <v>17</v>
      </c>
      <c r="E132" s="35">
        <v>90</v>
      </c>
      <c r="F132" s="35">
        <v>10</v>
      </c>
      <c r="G132" s="23"/>
      <c r="L132" s="132" t="s">
        <v>18</v>
      </c>
      <c r="M132" s="334" t="s">
        <v>688</v>
      </c>
      <c r="N132" s="35" t="s">
        <v>29</v>
      </c>
      <c r="O132" s="35">
        <v>3</v>
      </c>
      <c r="P132" s="132" t="s">
        <v>18</v>
      </c>
      <c r="Q132" s="334" t="s">
        <v>689</v>
      </c>
      <c r="R132" s="35" t="s">
        <v>33</v>
      </c>
      <c r="S132" s="35">
        <v>10</v>
      </c>
      <c r="T132" s="298">
        <v>87</v>
      </c>
      <c r="V132" s="229">
        <v>141</v>
      </c>
    </row>
    <row r="133" spans="1:22" ht="15.75" customHeight="1">
      <c r="A133" s="193">
        <v>35</v>
      </c>
      <c r="B133" s="186">
        <v>9</v>
      </c>
      <c r="C133" s="132" t="s">
        <v>15</v>
      </c>
      <c r="D133" s="132" t="s">
        <v>17</v>
      </c>
      <c r="E133" s="35">
        <v>82</v>
      </c>
      <c r="F133" s="35">
        <v>18</v>
      </c>
      <c r="G133" s="23"/>
      <c r="L133" s="132" t="s">
        <v>16</v>
      </c>
      <c r="N133" s="35"/>
      <c r="O133" s="35"/>
      <c r="P133" s="132" t="s">
        <v>16</v>
      </c>
      <c r="R133" s="35"/>
      <c r="S133" s="35"/>
      <c r="T133" s="298">
        <v>100</v>
      </c>
      <c r="V133" s="229">
        <v>142</v>
      </c>
    </row>
    <row r="134" spans="1:22" ht="15.75" customHeight="1">
      <c r="A134" s="193">
        <v>35</v>
      </c>
      <c r="B134" s="186">
        <v>10</v>
      </c>
      <c r="C134" s="132" t="s">
        <v>15</v>
      </c>
      <c r="D134" s="132" t="s">
        <v>17</v>
      </c>
      <c r="E134" s="35">
        <v>82</v>
      </c>
      <c r="F134" s="35">
        <v>18</v>
      </c>
      <c r="G134" s="23"/>
      <c r="L134" s="132" t="s">
        <v>18</v>
      </c>
      <c r="M134" s="334" t="s">
        <v>689</v>
      </c>
      <c r="N134" s="35" t="s">
        <v>33</v>
      </c>
      <c r="O134" s="35">
        <v>10</v>
      </c>
      <c r="P134" s="132" t="s">
        <v>16</v>
      </c>
      <c r="R134" s="35"/>
      <c r="S134" s="35"/>
      <c r="T134" s="298">
        <v>90</v>
      </c>
      <c r="V134" s="229">
        <v>143</v>
      </c>
    </row>
    <row r="135" spans="1:22" ht="15.75" customHeight="1">
      <c r="A135" s="193">
        <v>35</v>
      </c>
      <c r="B135" s="186">
        <v>11</v>
      </c>
      <c r="C135" s="132" t="s">
        <v>15</v>
      </c>
      <c r="D135" s="132" t="s">
        <v>17</v>
      </c>
      <c r="E135" s="35">
        <v>82</v>
      </c>
      <c r="F135" s="35">
        <v>18</v>
      </c>
      <c r="G135" s="23"/>
      <c r="L135" s="132" t="s">
        <v>18</v>
      </c>
      <c r="M135" s="334" t="s">
        <v>688</v>
      </c>
      <c r="N135" s="35" t="s">
        <v>29</v>
      </c>
      <c r="O135" s="35">
        <v>3</v>
      </c>
      <c r="P135" s="132" t="s">
        <v>16</v>
      </c>
      <c r="R135" s="35"/>
      <c r="S135" s="35"/>
      <c r="T135" s="298">
        <v>97</v>
      </c>
      <c r="V135" s="229">
        <v>144</v>
      </c>
    </row>
    <row r="136" spans="1:22" ht="15.75" customHeight="1" thickBot="1">
      <c r="A136" s="191">
        <v>35</v>
      </c>
      <c r="B136" s="188">
        <v>12</v>
      </c>
      <c r="C136" s="189" t="s">
        <v>15</v>
      </c>
      <c r="D136" s="189" t="s">
        <v>17</v>
      </c>
      <c r="E136" s="190">
        <v>82</v>
      </c>
      <c r="F136" s="190">
        <v>18</v>
      </c>
      <c r="G136" s="39"/>
      <c r="H136" s="195"/>
      <c r="I136" s="195"/>
      <c r="J136" s="195"/>
      <c r="K136" s="195"/>
      <c r="L136" s="189" t="s">
        <v>18</v>
      </c>
      <c r="M136" s="353" t="s">
        <v>688</v>
      </c>
      <c r="N136" s="190" t="s">
        <v>29</v>
      </c>
      <c r="O136" s="190">
        <v>3</v>
      </c>
      <c r="P136" s="189" t="s">
        <v>18</v>
      </c>
      <c r="Q136" s="353" t="s">
        <v>689</v>
      </c>
      <c r="R136" s="190" t="s">
        <v>33</v>
      </c>
      <c r="S136" s="190">
        <v>10</v>
      </c>
      <c r="T136" s="307">
        <v>87</v>
      </c>
      <c r="V136" s="229">
        <v>145</v>
      </c>
    </row>
    <row r="137" spans="1:22" ht="15.75" customHeight="1">
      <c r="A137" s="173">
        <v>36</v>
      </c>
      <c r="B137" s="184">
        <v>1</v>
      </c>
      <c r="C137" s="174" t="s">
        <v>15</v>
      </c>
      <c r="D137" s="174" t="s">
        <v>17</v>
      </c>
      <c r="E137" s="174">
        <v>94</v>
      </c>
      <c r="F137" s="176">
        <f t="shared" ref="F137:F145" si="3">100-E137</f>
        <v>6</v>
      </c>
      <c r="G137" s="22">
        <v>680000</v>
      </c>
      <c r="H137" s="176"/>
      <c r="I137" s="176"/>
      <c r="J137" s="176"/>
      <c r="K137" s="176"/>
      <c r="L137" s="174" t="s">
        <v>16</v>
      </c>
      <c r="N137" s="176"/>
      <c r="O137" s="176"/>
      <c r="P137" s="174" t="s">
        <v>16</v>
      </c>
      <c r="Q137" s="350"/>
      <c r="R137" s="176"/>
      <c r="S137" s="176"/>
      <c r="T137" s="309">
        <v>100</v>
      </c>
      <c r="V137" s="229">
        <v>146</v>
      </c>
    </row>
    <row r="138" spans="1:22" ht="15.75" customHeight="1">
      <c r="A138" s="185">
        <v>36</v>
      </c>
      <c r="B138" s="186">
        <v>2</v>
      </c>
      <c r="C138" s="132" t="s">
        <v>15</v>
      </c>
      <c r="D138" s="132" t="s">
        <v>17</v>
      </c>
      <c r="E138" s="132">
        <v>94</v>
      </c>
      <c r="F138" s="35">
        <f t="shared" si="3"/>
        <v>6</v>
      </c>
      <c r="G138" s="22">
        <v>680000</v>
      </c>
      <c r="H138" s="35"/>
      <c r="I138" s="35"/>
      <c r="J138" s="35"/>
      <c r="K138" s="35"/>
      <c r="L138" s="132" t="s">
        <v>18</v>
      </c>
      <c r="M138" s="334" t="s">
        <v>689</v>
      </c>
      <c r="N138" s="132" t="s">
        <v>34</v>
      </c>
      <c r="O138" s="132">
        <v>5</v>
      </c>
      <c r="P138" s="132" t="s">
        <v>16</v>
      </c>
      <c r="R138" s="35"/>
      <c r="S138" s="35"/>
      <c r="T138" s="298">
        <f t="shared" ref="T138:T145" si="4">100-O138</f>
        <v>95</v>
      </c>
      <c r="V138" s="229">
        <v>147</v>
      </c>
    </row>
    <row r="139" spans="1:22" ht="15.75" customHeight="1">
      <c r="A139" s="185">
        <v>36</v>
      </c>
      <c r="B139" s="186">
        <v>3</v>
      </c>
      <c r="C139" s="132" t="s">
        <v>15</v>
      </c>
      <c r="D139" s="132" t="s">
        <v>17</v>
      </c>
      <c r="E139" s="132">
        <v>94</v>
      </c>
      <c r="F139" s="35">
        <f t="shared" si="3"/>
        <v>6</v>
      </c>
      <c r="G139" s="22">
        <v>680000</v>
      </c>
      <c r="H139" s="35"/>
      <c r="I139" s="35"/>
      <c r="J139" s="35"/>
      <c r="K139" s="35"/>
      <c r="L139" s="132" t="s">
        <v>18</v>
      </c>
      <c r="M139" s="334" t="s">
        <v>689</v>
      </c>
      <c r="N139" s="132" t="s">
        <v>34</v>
      </c>
      <c r="O139" s="132">
        <v>10</v>
      </c>
      <c r="P139" s="132" t="s">
        <v>16</v>
      </c>
      <c r="R139" s="35"/>
      <c r="S139" s="35"/>
      <c r="T139" s="298">
        <f t="shared" si="4"/>
        <v>90</v>
      </c>
      <c r="V139" s="229">
        <v>148</v>
      </c>
    </row>
    <row r="140" spans="1:22" ht="15.75" customHeight="1">
      <c r="A140" s="185">
        <v>36</v>
      </c>
      <c r="B140" s="186">
        <v>4</v>
      </c>
      <c r="C140" s="132" t="s">
        <v>15</v>
      </c>
      <c r="D140" s="132" t="s">
        <v>17</v>
      </c>
      <c r="E140" s="132">
        <v>94</v>
      </c>
      <c r="F140" s="35">
        <f t="shared" si="3"/>
        <v>6</v>
      </c>
      <c r="G140" s="22">
        <v>680000</v>
      </c>
      <c r="H140" s="35"/>
      <c r="I140" s="35"/>
      <c r="J140" s="35"/>
      <c r="K140" s="35"/>
      <c r="L140" s="132" t="s">
        <v>18</v>
      </c>
      <c r="M140" s="334" t="s">
        <v>689</v>
      </c>
      <c r="N140" s="132" t="s">
        <v>34</v>
      </c>
      <c r="O140" s="132">
        <v>20</v>
      </c>
      <c r="P140" s="132" t="s">
        <v>16</v>
      </c>
      <c r="R140" s="132"/>
      <c r="S140" s="35"/>
      <c r="T140" s="298">
        <f t="shared" si="4"/>
        <v>80</v>
      </c>
      <c r="V140" s="229">
        <v>149</v>
      </c>
    </row>
    <row r="141" spans="1:22" ht="15.75" customHeight="1">
      <c r="A141" s="185">
        <v>36</v>
      </c>
      <c r="B141" s="186">
        <v>5</v>
      </c>
      <c r="C141" s="132" t="s">
        <v>15</v>
      </c>
      <c r="D141" s="132" t="s">
        <v>17</v>
      </c>
      <c r="E141" s="132">
        <v>94</v>
      </c>
      <c r="F141" s="35">
        <f t="shared" si="3"/>
        <v>6</v>
      </c>
      <c r="G141" s="22">
        <v>680000</v>
      </c>
      <c r="H141" s="35"/>
      <c r="I141" s="35"/>
      <c r="J141" s="35"/>
      <c r="K141" s="35"/>
      <c r="L141" s="132" t="s">
        <v>18</v>
      </c>
      <c r="M141" s="334" t="s">
        <v>689</v>
      </c>
      <c r="N141" s="132" t="s">
        <v>34</v>
      </c>
      <c r="O141" s="132">
        <v>30</v>
      </c>
      <c r="P141" s="132" t="s">
        <v>16</v>
      </c>
      <c r="R141" s="35"/>
      <c r="S141" s="35"/>
      <c r="T141" s="298">
        <f t="shared" si="4"/>
        <v>70</v>
      </c>
      <c r="V141" s="229">
        <v>150</v>
      </c>
    </row>
    <row r="142" spans="1:22" ht="15.75" customHeight="1">
      <c r="A142" s="185">
        <v>36</v>
      </c>
      <c r="B142" s="186">
        <v>6</v>
      </c>
      <c r="C142" s="132" t="s">
        <v>15</v>
      </c>
      <c r="D142" s="132" t="s">
        <v>17</v>
      </c>
      <c r="E142" s="132">
        <v>94</v>
      </c>
      <c r="F142" s="35">
        <f t="shared" si="3"/>
        <v>6</v>
      </c>
      <c r="G142" s="22">
        <v>680000</v>
      </c>
      <c r="H142" s="35"/>
      <c r="I142" s="35"/>
      <c r="J142" s="35"/>
      <c r="K142" s="35"/>
      <c r="L142" s="132" t="s">
        <v>18</v>
      </c>
      <c r="M142" s="334" t="s">
        <v>689</v>
      </c>
      <c r="N142" s="132" t="s">
        <v>31</v>
      </c>
      <c r="O142" s="132">
        <v>5</v>
      </c>
      <c r="P142" s="132" t="s">
        <v>16</v>
      </c>
      <c r="R142" s="35"/>
      <c r="S142" s="35"/>
      <c r="T142" s="298">
        <f t="shared" si="4"/>
        <v>95</v>
      </c>
      <c r="V142" s="229">
        <v>151</v>
      </c>
    </row>
    <row r="143" spans="1:22" ht="15.75" customHeight="1">
      <c r="A143" s="185">
        <v>36</v>
      </c>
      <c r="B143" s="186">
        <v>7</v>
      </c>
      <c r="C143" s="132" t="s">
        <v>15</v>
      </c>
      <c r="D143" s="132" t="s">
        <v>17</v>
      </c>
      <c r="E143" s="132">
        <v>94</v>
      </c>
      <c r="F143" s="35">
        <f t="shared" si="3"/>
        <v>6</v>
      </c>
      <c r="G143" s="22">
        <v>680000</v>
      </c>
      <c r="H143" s="35"/>
      <c r="I143" s="35"/>
      <c r="J143" s="35"/>
      <c r="K143" s="35"/>
      <c r="L143" s="132" t="s">
        <v>18</v>
      </c>
      <c r="M143" s="334" t="s">
        <v>689</v>
      </c>
      <c r="N143" s="132" t="s">
        <v>31</v>
      </c>
      <c r="O143" s="132">
        <v>10</v>
      </c>
      <c r="P143" s="132" t="s">
        <v>16</v>
      </c>
      <c r="R143" s="35"/>
      <c r="S143" s="35"/>
      <c r="T143" s="298">
        <f t="shared" si="4"/>
        <v>90</v>
      </c>
      <c r="V143" s="229">
        <v>152</v>
      </c>
    </row>
    <row r="144" spans="1:22" ht="15.75" customHeight="1">
      <c r="A144" s="185">
        <v>36</v>
      </c>
      <c r="B144" s="186">
        <v>8</v>
      </c>
      <c r="C144" s="132" t="s">
        <v>15</v>
      </c>
      <c r="D144" s="132" t="s">
        <v>17</v>
      </c>
      <c r="E144" s="132">
        <v>94</v>
      </c>
      <c r="F144" s="35">
        <f t="shared" si="3"/>
        <v>6</v>
      </c>
      <c r="G144" s="22">
        <v>680000</v>
      </c>
      <c r="H144" s="35"/>
      <c r="I144" s="35"/>
      <c r="J144" s="35"/>
      <c r="K144" s="35"/>
      <c r="L144" s="132" t="s">
        <v>18</v>
      </c>
      <c r="M144" s="334" t="s">
        <v>689</v>
      </c>
      <c r="N144" s="132" t="s">
        <v>31</v>
      </c>
      <c r="O144" s="132">
        <v>20</v>
      </c>
      <c r="P144" s="132" t="s">
        <v>16</v>
      </c>
      <c r="R144" s="35"/>
      <c r="S144" s="35"/>
      <c r="T144" s="298">
        <f t="shared" si="4"/>
        <v>80</v>
      </c>
      <c r="V144" s="229">
        <v>153</v>
      </c>
    </row>
    <row r="145" spans="1:22" ht="15.75" customHeight="1" thickBot="1">
      <c r="A145" s="187">
        <v>36</v>
      </c>
      <c r="B145" s="188">
        <v>9</v>
      </c>
      <c r="C145" s="189" t="s">
        <v>15</v>
      </c>
      <c r="D145" s="189" t="s">
        <v>17</v>
      </c>
      <c r="E145" s="189">
        <v>94</v>
      </c>
      <c r="F145" s="190">
        <f t="shared" si="3"/>
        <v>6</v>
      </c>
      <c r="G145" s="37">
        <v>680000</v>
      </c>
      <c r="H145" s="190"/>
      <c r="I145" s="190"/>
      <c r="J145" s="190"/>
      <c r="K145" s="190"/>
      <c r="L145" s="189" t="s">
        <v>18</v>
      </c>
      <c r="M145" s="353" t="s">
        <v>689</v>
      </c>
      <c r="N145" s="189" t="s">
        <v>31</v>
      </c>
      <c r="O145" s="189">
        <v>30</v>
      </c>
      <c r="P145" s="132" t="s">
        <v>16</v>
      </c>
      <c r="Q145" s="352"/>
      <c r="R145" s="190"/>
      <c r="S145" s="190"/>
      <c r="T145" s="307">
        <f t="shared" si="4"/>
        <v>70</v>
      </c>
      <c r="V145" s="229">
        <v>154</v>
      </c>
    </row>
    <row r="146" spans="1:22" ht="15.75" customHeight="1">
      <c r="A146" s="173">
        <v>37</v>
      </c>
      <c r="B146" s="184">
        <v>1</v>
      </c>
      <c r="C146" s="174" t="s">
        <v>15</v>
      </c>
      <c r="D146" s="174" t="s">
        <v>17</v>
      </c>
      <c r="E146" s="174">
        <v>100</v>
      </c>
      <c r="F146" s="174">
        <v>0</v>
      </c>
      <c r="G146" s="17"/>
      <c r="H146" s="176"/>
      <c r="I146" s="176"/>
      <c r="J146" s="176"/>
      <c r="K146" s="176"/>
      <c r="L146" s="174" t="s">
        <v>16</v>
      </c>
      <c r="N146" s="176"/>
      <c r="O146" s="176"/>
      <c r="P146" s="174" t="s">
        <v>16</v>
      </c>
      <c r="Q146" s="350"/>
      <c r="R146" s="176"/>
      <c r="S146" s="176"/>
      <c r="T146" s="309">
        <v>100</v>
      </c>
      <c r="V146" s="229">
        <v>155</v>
      </c>
    </row>
    <row r="147" spans="1:22" ht="15.75" customHeight="1">
      <c r="A147" s="185">
        <v>37</v>
      </c>
      <c r="B147" s="186">
        <v>2</v>
      </c>
      <c r="C147" s="132" t="s">
        <v>15</v>
      </c>
      <c r="D147" s="132" t="s">
        <v>17</v>
      </c>
      <c r="E147" s="132">
        <v>88</v>
      </c>
      <c r="F147" s="132">
        <v>12</v>
      </c>
      <c r="G147" s="17"/>
      <c r="H147" s="35"/>
      <c r="I147" s="35"/>
      <c r="J147" s="35"/>
      <c r="K147" s="35"/>
      <c r="L147" s="132" t="s">
        <v>16</v>
      </c>
      <c r="N147" s="35"/>
      <c r="O147" s="35"/>
      <c r="P147" s="132" t="s">
        <v>16</v>
      </c>
      <c r="R147" s="35"/>
      <c r="S147" s="35"/>
      <c r="T147" s="304">
        <v>100</v>
      </c>
      <c r="V147" s="229">
        <v>156</v>
      </c>
    </row>
    <row r="148" spans="1:22" ht="15.75" customHeight="1" thickBot="1">
      <c r="A148" s="187">
        <v>37</v>
      </c>
      <c r="B148" s="188">
        <v>3</v>
      </c>
      <c r="C148" s="189" t="s">
        <v>15</v>
      </c>
      <c r="D148" s="189" t="s">
        <v>17</v>
      </c>
      <c r="E148" s="189">
        <v>75</v>
      </c>
      <c r="F148" s="189">
        <v>25</v>
      </c>
      <c r="G148" s="40"/>
      <c r="H148" s="190"/>
      <c r="I148" s="190"/>
      <c r="J148" s="190"/>
      <c r="K148" s="190"/>
      <c r="L148" s="189" t="s">
        <v>16</v>
      </c>
      <c r="M148" s="352"/>
      <c r="N148" s="190"/>
      <c r="O148" s="190"/>
      <c r="P148" s="189" t="s">
        <v>16</v>
      </c>
      <c r="Q148" s="352"/>
      <c r="R148" s="190"/>
      <c r="S148" s="190"/>
      <c r="T148" s="308">
        <v>100</v>
      </c>
      <c r="V148" s="229">
        <v>157</v>
      </c>
    </row>
    <row r="149" spans="1:22" ht="15.75" customHeight="1">
      <c r="A149" s="173">
        <v>38</v>
      </c>
      <c r="B149" s="184">
        <v>1</v>
      </c>
      <c r="C149" s="174" t="s">
        <v>15</v>
      </c>
      <c r="D149" s="174" t="s">
        <v>17</v>
      </c>
      <c r="E149" s="176">
        <f t="shared" ref="E149:E153" si="5">100-F149</f>
        <v>83</v>
      </c>
      <c r="F149" s="174">
        <v>17</v>
      </c>
      <c r="G149" s="22">
        <v>2800000</v>
      </c>
      <c r="H149" s="174">
        <v>1960000</v>
      </c>
      <c r="I149" s="176"/>
      <c r="J149" s="176"/>
      <c r="K149" s="174">
        <v>1.43</v>
      </c>
      <c r="L149" s="174" t="s">
        <v>16</v>
      </c>
      <c r="M149" s="350"/>
      <c r="N149" s="176"/>
      <c r="O149" s="176"/>
      <c r="P149" s="174" t="s">
        <v>16</v>
      </c>
      <c r="Q149" s="350"/>
      <c r="R149" s="176"/>
      <c r="S149" s="176"/>
      <c r="T149" s="309">
        <v>100</v>
      </c>
      <c r="V149" s="229">
        <v>158</v>
      </c>
    </row>
    <row r="150" spans="1:22" ht="15.75" customHeight="1">
      <c r="A150" s="185">
        <v>38</v>
      </c>
      <c r="B150" s="186">
        <v>2</v>
      </c>
      <c r="C150" s="132" t="s">
        <v>15</v>
      </c>
      <c r="D150" s="132" t="s">
        <v>17</v>
      </c>
      <c r="E150" s="35">
        <f t="shared" si="5"/>
        <v>81</v>
      </c>
      <c r="F150" s="132">
        <v>19</v>
      </c>
      <c r="G150" s="22">
        <v>867000</v>
      </c>
      <c r="H150" s="132">
        <v>798000</v>
      </c>
      <c r="I150" s="35"/>
      <c r="J150" s="35"/>
      <c r="K150" s="132">
        <v>1.0900000000000001</v>
      </c>
      <c r="L150" s="132" t="s">
        <v>16</v>
      </c>
      <c r="N150" s="35"/>
      <c r="O150" s="35"/>
      <c r="P150" s="132" t="s">
        <v>16</v>
      </c>
      <c r="R150" s="35"/>
      <c r="S150" s="35"/>
      <c r="T150" s="304">
        <v>100</v>
      </c>
      <c r="V150" s="229">
        <v>159</v>
      </c>
    </row>
    <row r="151" spans="1:22" ht="15.75" customHeight="1">
      <c r="A151" s="185">
        <v>38</v>
      </c>
      <c r="B151" s="186">
        <v>3</v>
      </c>
      <c r="C151" s="132" t="s">
        <v>15</v>
      </c>
      <c r="D151" s="132" t="s">
        <v>17</v>
      </c>
      <c r="E151" s="35">
        <f t="shared" si="5"/>
        <v>79</v>
      </c>
      <c r="F151" s="132">
        <v>21</v>
      </c>
      <c r="G151" s="22">
        <v>696000</v>
      </c>
      <c r="H151" s="132">
        <v>645000</v>
      </c>
      <c r="I151" s="35"/>
      <c r="J151" s="35"/>
      <c r="K151" s="132">
        <v>1.08</v>
      </c>
      <c r="L151" s="132" t="s">
        <v>16</v>
      </c>
      <c r="N151" s="35"/>
      <c r="O151" s="35"/>
      <c r="P151" s="132" t="s">
        <v>16</v>
      </c>
      <c r="R151" s="35"/>
      <c r="S151" s="35"/>
      <c r="T151" s="304">
        <v>100</v>
      </c>
      <c r="V151" s="229">
        <v>160</v>
      </c>
    </row>
    <row r="152" spans="1:22" ht="15.75" customHeight="1">
      <c r="A152" s="185">
        <v>38</v>
      </c>
      <c r="B152" s="186">
        <v>4</v>
      </c>
      <c r="C152" s="132" t="s">
        <v>15</v>
      </c>
      <c r="D152" s="132" t="s">
        <v>17</v>
      </c>
      <c r="E152" s="35">
        <f t="shared" si="5"/>
        <v>75</v>
      </c>
      <c r="F152" s="132">
        <v>25</v>
      </c>
      <c r="G152" s="22">
        <v>854000</v>
      </c>
      <c r="H152" s="132">
        <v>752000</v>
      </c>
      <c r="I152" s="35"/>
      <c r="K152" s="132">
        <v>1.1399999999999999</v>
      </c>
      <c r="L152" s="132" t="s">
        <v>16</v>
      </c>
      <c r="N152" s="35"/>
      <c r="O152" s="35"/>
      <c r="P152" s="132" t="s">
        <v>16</v>
      </c>
      <c r="R152" s="35"/>
      <c r="S152" s="35"/>
      <c r="T152" s="304">
        <v>100</v>
      </c>
      <c r="V152" s="229">
        <v>161</v>
      </c>
    </row>
    <row r="153" spans="1:22" ht="15.75" customHeight="1" thickBot="1">
      <c r="A153" s="187">
        <v>38</v>
      </c>
      <c r="B153" s="188">
        <v>5</v>
      </c>
      <c r="C153" s="189" t="s">
        <v>15</v>
      </c>
      <c r="D153" s="189" t="s">
        <v>17</v>
      </c>
      <c r="E153" s="190">
        <f t="shared" si="5"/>
        <v>77</v>
      </c>
      <c r="F153" s="189">
        <v>23</v>
      </c>
      <c r="G153" s="37">
        <v>845000</v>
      </c>
      <c r="H153" s="189">
        <v>796000</v>
      </c>
      <c r="I153" s="190"/>
      <c r="K153" s="189">
        <v>1.06</v>
      </c>
      <c r="L153" s="189" t="s">
        <v>16</v>
      </c>
      <c r="M153" s="352"/>
      <c r="N153" s="190"/>
      <c r="O153" s="190"/>
      <c r="P153" s="189" t="s">
        <v>16</v>
      </c>
      <c r="Q153" s="352"/>
      <c r="R153" s="190"/>
      <c r="S153" s="190"/>
      <c r="T153" s="308">
        <v>100</v>
      </c>
      <c r="V153" s="229">
        <v>162</v>
      </c>
    </row>
    <row r="154" spans="1:22" ht="15.75" customHeight="1" thickBot="1">
      <c r="A154" s="32">
        <v>39</v>
      </c>
      <c r="B154" s="198">
        <v>1</v>
      </c>
      <c r="C154" s="177" t="s">
        <v>15</v>
      </c>
      <c r="D154" s="177" t="s">
        <v>17</v>
      </c>
      <c r="E154" s="177">
        <v>95</v>
      </c>
      <c r="F154" s="177">
        <v>5</v>
      </c>
      <c r="G154" s="40"/>
      <c r="H154" s="183"/>
      <c r="I154" s="177">
        <v>1.25</v>
      </c>
      <c r="J154" s="177" t="s">
        <v>25</v>
      </c>
      <c r="K154" s="183"/>
      <c r="L154" s="177" t="s">
        <v>16</v>
      </c>
      <c r="M154" s="351"/>
      <c r="N154" s="183"/>
      <c r="O154" s="183"/>
      <c r="P154" s="177" t="s">
        <v>16</v>
      </c>
      <c r="Q154" s="351"/>
      <c r="R154" s="183"/>
      <c r="S154" s="183"/>
      <c r="T154" s="310">
        <v>100</v>
      </c>
      <c r="V154" s="229">
        <v>163</v>
      </c>
    </row>
    <row r="155" spans="1:22" ht="15.75" customHeight="1">
      <c r="A155" s="193">
        <v>40</v>
      </c>
      <c r="B155" s="186">
        <v>1</v>
      </c>
      <c r="C155" s="132" t="s">
        <v>15</v>
      </c>
      <c r="D155" s="132" t="s">
        <v>17</v>
      </c>
      <c r="E155" s="132">
        <v>98.66</v>
      </c>
      <c r="F155" s="132">
        <v>1.34</v>
      </c>
      <c r="G155" s="22">
        <v>715166</v>
      </c>
      <c r="H155" s="132">
        <v>236211</v>
      </c>
      <c r="I155" s="35"/>
      <c r="J155" s="35"/>
      <c r="K155" s="35"/>
      <c r="L155" s="132" t="s">
        <v>16</v>
      </c>
      <c r="N155" s="132"/>
      <c r="O155" s="132"/>
      <c r="P155" s="132" t="s">
        <v>16</v>
      </c>
      <c r="R155" s="35"/>
      <c r="S155" s="35"/>
      <c r="T155" s="304">
        <v>100</v>
      </c>
      <c r="V155" s="229">
        <v>164</v>
      </c>
    </row>
    <row r="156" spans="1:22" ht="15.75" customHeight="1">
      <c r="A156" s="193">
        <v>40</v>
      </c>
      <c r="B156" s="186">
        <v>2</v>
      </c>
      <c r="C156" s="132" t="s">
        <v>15</v>
      </c>
      <c r="D156" s="132" t="s">
        <v>17</v>
      </c>
      <c r="E156" s="132">
        <v>98.66</v>
      </c>
      <c r="F156" s="132">
        <v>1.34</v>
      </c>
      <c r="G156" s="22">
        <v>715166</v>
      </c>
      <c r="H156" s="132">
        <v>236211</v>
      </c>
      <c r="I156" s="35"/>
      <c r="J156" s="35"/>
      <c r="K156" s="35"/>
      <c r="L156" s="132" t="s">
        <v>18</v>
      </c>
      <c r="M156" s="334" t="s">
        <v>688</v>
      </c>
      <c r="N156" s="132" t="s">
        <v>35</v>
      </c>
      <c r="O156" s="132">
        <v>1</v>
      </c>
      <c r="P156" s="132" t="s">
        <v>16</v>
      </c>
      <c r="R156" s="35"/>
      <c r="S156" s="35"/>
      <c r="T156" s="304">
        <v>99</v>
      </c>
      <c r="V156" s="229">
        <v>165</v>
      </c>
    </row>
    <row r="157" spans="1:22" ht="15.75" customHeight="1" thickBot="1">
      <c r="A157" s="191">
        <v>40</v>
      </c>
      <c r="B157" s="188">
        <v>3</v>
      </c>
      <c r="C157" s="189" t="s">
        <v>15</v>
      </c>
      <c r="D157" s="189" t="s">
        <v>17</v>
      </c>
      <c r="E157" s="189">
        <v>98.66</v>
      </c>
      <c r="F157" s="189">
        <v>1.34</v>
      </c>
      <c r="G157" s="37">
        <v>715166</v>
      </c>
      <c r="H157" s="189">
        <v>236211</v>
      </c>
      <c r="I157" s="190"/>
      <c r="J157" s="190"/>
      <c r="K157" s="190"/>
      <c r="L157" s="189" t="s">
        <v>18</v>
      </c>
      <c r="M157" s="352" t="s">
        <v>688</v>
      </c>
      <c r="N157" s="189" t="s">
        <v>35</v>
      </c>
      <c r="O157" s="189">
        <v>3</v>
      </c>
      <c r="P157" s="189" t="s">
        <v>16</v>
      </c>
      <c r="Q157" s="352"/>
      <c r="R157" s="190"/>
      <c r="S157" s="190"/>
      <c r="T157" s="308">
        <v>97</v>
      </c>
      <c r="V157" s="229">
        <v>166</v>
      </c>
    </row>
    <row r="158" spans="1:22" ht="15.75" customHeight="1">
      <c r="A158" s="193">
        <v>41</v>
      </c>
      <c r="B158" s="186">
        <v>1</v>
      </c>
      <c r="C158" s="132" t="s">
        <v>15</v>
      </c>
      <c r="D158" s="132" t="s">
        <v>17</v>
      </c>
      <c r="E158" s="132">
        <v>97.5</v>
      </c>
      <c r="F158" s="132">
        <v>2.5</v>
      </c>
      <c r="G158" s="22">
        <v>280000</v>
      </c>
      <c r="I158" s="132">
        <v>1.23</v>
      </c>
      <c r="J158" s="132" t="s">
        <v>25</v>
      </c>
      <c r="L158" s="132" t="s">
        <v>16</v>
      </c>
      <c r="N158" s="35"/>
      <c r="P158" s="132" t="s">
        <v>16</v>
      </c>
      <c r="T158" s="304">
        <v>100</v>
      </c>
      <c r="V158" s="229">
        <v>167</v>
      </c>
    </row>
    <row r="159" spans="1:22" ht="15.75" customHeight="1">
      <c r="A159" s="193">
        <v>41</v>
      </c>
      <c r="B159" s="186">
        <v>2</v>
      </c>
      <c r="C159" s="132" t="s">
        <v>15</v>
      </c>
      <c r="D159" s="132" t="s">
        <v>17</v>
      </c>
      <c r="E159" s="132">
        <v>97.5</v>
      </c>
      <c r="F159" s="132">
        <v>2.5</v>
      </c>
      <c r="G159" s="22">
        <v>280000</v>
      </c>
      <c r="I159" s="132">
        <v>1.23</v>
      </c>
      <c r="J159" s="132" t="s">
        <v>25</v>
      </c>
      <c r="L159" s="132" t="s">
        <v>18</v>
      </c>
      <c r="M159" s="334" t="s">
        <v>687</v>
      </c>
      <c r="N159" s="132" t="s">
        <v>36</v>
      </c>
      <c r="O159" s="132">
        <v>2.5</v>
      </c>
      <c r="P159" s="132" t="s">
        <v>16</v>
      </c>
      <c r="T159" s="304">
        <v>97.5</v>
      </c>
      <c r="V159" s="229">
        <v>168</v>
      </c>
    </row>
    <row r="160" spans="1:22" ht="15.75" customHeight="1">
      <c r="A160" s="193">
        <v>41</v>
      </c>
      <c r="B160" s="186">
        <v>3</v>
      </c>
      <c r="C160" s="132" t="s">
        <v>15</v>
      </c>
      <c r="D160" s="132" t="s">
        <v>17</v>
      </c>
      <c r="E160" s="132">
        <v>97.5</v>
      </c>
      <c r="F160" s="132">
        <v>2.5</v>
      </c>
      <c r="G160" s="22">
        <v>280000</v>
      </c>
      <c r="I160" s="132">
        <v>1.23</v>
      </c>
      <c r="J160" s="132" t="s">
        <v>25</v>
      </c>
      <c r="L160" s="132" t="s">
        <v>18</v>
      </c>
      <c r="M160" s="334" t="s">
        <v>687</v>
      </c>
      <c r="N160" s="132" t="s">
        <v>36</v>
      </c>
      <c r="O160" s="132">
        <v>5</v>
      </c>
      <c r="P160" s="132" t="s">
        <v>16</v>
      </c>
      <c r="T160" s="304">
        <v>95</v>
      </c>
      <c r="V160" s="229">
        <v>169</v>
      </c>
    </row>
    <row r="161" spans="1:22" ht="15.75" customHeight="1">
      <c r="A161" s="193">
        <v>41</v>
      </c>
      <c r="B161" s="186">
        <v>4</v>
      </c>
      <c r="C161" s="132" t="s">
        <v>15</v>
      </c>
      <c r="D161" s="132" t="s">
        <v>17</v>
      </c>
      <c r="E161" s="132">
        <v>97.5</v>
      </c>
      <c r="F161" s="132">
        <v>2.5</v>
      </c>
      <c r="G161" s="22">
        <v>280000</v>
      </c>
      <c r="I161" s="132">
        <v>1.23</v>
      </c>
      <c r="J161" s="132" t="s">
        <v>25</v>
      </c>
      <c r="L161" s="132" t="s">
        <v>18</v>
      </c>
      <c r="M161" s="334" t="s">
        <v>687</v>
      </c>
      <c r="N161" s="132" t="s">
        <v>36</v>
      </c>
      <c r="O161" s="132">
        <v>10</v>
      </c>
      <c r="P161" s="132" t="s">
        <v>16</v>
      </c>
      <c r="T161" s="304">
        <v>90</v>
      </c>
      <c r="V161" s="229">
        <v>170</v>
      </c>
    </row>
    <row r="162" spans="1:22" ht="15.75" customHeight="1" thickBot="1">
      <c r="A162" s="191">
        <v>41</v>
      </c>
      <c r="B162" s="188">
        <v>5</v>
      </c>
      <c r="C162" s="189" t="s">
        <v>15</v>
      </c>
      <c r="D162" s="189" t="s">
        <v>17</v>
      </c>
      <c r="E162" s="189">
        <v>97.5</v>
      </c>
      <c r="F162" s="189">
        <v>2.5</v>
      </c>
      <c r="G162" s="37">
        <v>280000</v>
      </c>
      <c r="H162" s="195"/>
      <c r="I162" s="189">
        <v>1.23</v>
      </c>
      <c r="J162" s="189" t="s">
        <v>25</v>
      </c>
      <c r="K162" s="195"/>
      <c r="L162" s="189" t="s">
        <v>18</v>
      </c>
      <c r="M162" s="353" t="s">
        <v>687</v>
      </c>
      <c r="N162" s="189" t="s">
        <v>36</v>
      </c>
      <c r="O162" s="189">
        <v>15</v>
      </c>
      <c r="P162" s="189" t="s">
        <v>16</v>
      </c>
      <c r="Q162" s="352"/>
      <c r="R162" s="195"/>
      <c r="S162" s="195"/>
      <c r="T162" s="308">
        <v>85</v>
      </c>
      <c r="V162" s="229">
        <v>171</v>
      </c>
    </row>
    <row r="163" spans="1:22" ht="15.75" customHeight="1">
      <c r="A163" s="193">
        <v>42</v>
      </c>
      <c r="B163" s="186">
        <v>1</v>
      </c>
      <c r="C163" s="132" t="s">
        <v>15</v>
      </c>
      <c r="D163" s="132" t="s">
        <v>17</v>
      </c>
      <c r="E163" s="132">
        <v>100</v>
      </c>
      <c r="F163" s="132">
        <v>0</v>
      </c>
      <c r="G163" s="23"/>
      <c r="H163" s="132">
        <v>330000</v>
      </c>
      <c r="I163" s="35"/>
      <c r="J163" s="35"/>
      <c r="K163" s="132">
        <v>2.5</v>
      </c>
      <c r="L163" s="132" t="s">
        <v>16</v>
      </c>
      <c r="N163" s="35"/>
      <c r="O163" s="35"/>
      <c r="P163" s="132" t="s">
        <v>16</v>
      </c>
      <c r="T163" s="304">
        <v>100</v>
      </c>
      <c r="V163" s="229">
        <v>172</v>
      </c>
    </row>
    <row r="164" spans="1:22" ht="15.75" customHeight="1">
      <c r="A164" s="193">
        <v>42</v>
      </c>
      <c r="B164" s="186">
        <v>2</v>
      </c>
      <c r="C164" s="132" t="s">
        <v>15</v>
      </c>
      <c r="D164" s="132" t="s">
        <v>17</v>
      </c>
      <c r="E164" s="132">
        <v>100</v>
      </c>
      <c r="F164" s="132">
        <v>0</v>
      </c>
      <c r="G164" s="23"/>
      <c r="H164" s="132">
        <v>330000</v>
      </c>
      <c r="J164" s="35"/>
      <c r="K164" s="132">
        <v>2.5</v>
      </c>
      <c r="L164" s="132" t="s">
        <v>18</v>
      </c>
      <c r="M164" s="334" t="s">
        <v>689</v>
      </c>
      <c r="N164" s="132" t="s">
        <v>37</v>
      </c>
      <c r="O164" s="132">
        <v>25</v>
      </c>
      <c r="P164" s="132" t="s">
        <v>16</v>
      </c>
      <c r="T164" s="304">
        <v>75</v>
      </c>
      <c r="V164" s="229">
        <v>173</v>
      </c>
    </row>
    <row r="165" spans="1:22" ht="15.75" customHeight="1">
      <c r="A165" s="193">
        <v>42</v>
      </c>
      <c r="B165" s="186">
        <v>3</v>
      </c>
      <c r="C165" s="132" t="s">
        <v>15</v>
      </c>
      <c r="D165" s="132" t="s">
        <v>17</v>
      </c>
      <c r="E165" s="132">
        <v>100</v>
      </c>
      <c r="F165" s="132">
        <v>0</v>
      </c>
      <c r="G165" s="23"/>
      <c r="H165" s="132">
        <v>330000</v>
      </c>
      <c r="K165" s="132">
        <v>2.5</v>
      </c>
      <c r="L165" s="132" t="s">
        <v>18</v>
      </c>
      <c r="M165" s="334" t="s">
        <v>689</v>
      </c>
      <c r="N165" s="132" t="s">
        <v>37</v>
      </c>
      <c r="O165" s="132">
        <v>30</v>
      </c>
      <c r="P165" s="132" t="s">
        <v>16</v>
      </c>
      <c r="T165" s="304">
        <v>70</v>
      </c>
      <c r="V165" s="229">
        <v>174</v>
      </c>
    </row>
    <row r="166" spans="1:22" ht="15.75" customHeight="1">
      <c r="A166" s="193">
        <v>42</v>
      </c>
      <c r="B166" s="186">
        <v>4</v>
      </c>
      <c r="C166" s="132" t="s">
        <v>15</v>
      </c>
      <c r="D166" s="132" t="s">
        <v>17</v>
      </c>
      <c r="E166" s="132">
        <v>100</v>
      </c>
      <c r="F166" s="132">
        <v>0</v>
      </c>
      <c r="G166" s="23"/>
      <c r="H166" s="132">
        <v>330000</v>
      </c>
      <c r="K166" s="132">
        <v>2.5</v>
      </c>
      <c r="L166" s="132" t="s">
        <v>18</v>
      </c>
      <c r="M166" s="334" t="s">
        <v>689</v>
      </c>
      <c r="N166" s="132" t="s">
        <v>37</v>
      </c>
      <c r="O166" s="132">
        <v>35</v>
      </c>
      <c r="P166" s="132" t="s">
        <v>16</v>
      </c>
      <c r="T166" s="304">
        <v>65</v>
      </c>
      <c r="V166" s="229">
        <v>175</v>
      </c>
    </row>
    <row r="167" spans="1:22" ht="15.75" customHeight="1">
      <c r="A167" s="193">
        <v>42</v>
      </c>
      <c r="B167" s="186">
        <v>5</v>
      </c>
      <c r="C167" s="132" t="s">
        <v>15</v>
      </c>
      <c r="D167" s="132" t="s">
        <v>17</v>
      </c>
      <c r="E167" s="132">
        <v>100</v>
      </c>
      <c r="F167" s="132">
        <v>0</v>
      </c>
      <c r="G167" s="23"/>
      <c r="H167" s="132">
        <v>330000</v>
      </c>
      <c r="K167" s="132">
        <v>2.5</v>
      </c>
      <c r="L167" s="132" t="s">
        <v>18</v>
      </c>
      <c r="M167" s="334" t="s">
        <v>689</v>
      </c>
      <c r="N167" s="132" t="s">
        <v>37</v>
      </c>
      <c r="O167" s="132">
        <v>40</v>
      </c>
      <c r="P167" s="132" t="s">
        <v>16</v>
      </c>
      <c r="T167" s="304">
        <v>60</v>
      </c>
      <c r="V167" s="229">
        <v>176</v>
      </c>
    </row>
    <row r="168" spans="1:22" ht="15.75" customHeight="1">
      <c r="A168" s="193">
        <v>42</v>
      </c>
      <c r="B168" s="186">
        <v>6</v>
      </c>
      <c r="C168" s="132" t="s">
        <v>15</v>
      </c>
      <c r="D168" s="132" t="s">
        <v>17</v>
      </c>
      <c r="E168" s="132">
        <v>100</v>
      </c>
      <c r="F168" s="132">
        <v>0</v>
      </c>
      <c r="G168" s="23"/>
      <c r="H168" s="132">
        <v>330000</v>
      </c>
      <c r="K168" s="132">
        <v>2.5</v>
      </c>
      <c r="L168" s="132" t="s">
        <v>18</v>
      </c>
      <c r="M168" s="334" t="s">
        <v>689</v>
      </c>
      <c r="N168" s="132" t="s">
        <v>37</v>
      </c>
      <c r="O168" s="132">
        <v>50</v>
      </c>
      <c r="P168" s="132" t="s">
        <v>16</v>
      </c>
      <c r="T168" s="304">
        <v>50</v>
      </c>
      <c r="V168" s="229">
        <v>177</v>
      </c>
    </row>
    <row r="169" spans="1:22" ht="15.75" customHeight="1">
      <c r="A169" s="193">
        <v>42</v>
      </c>
      <c r="B169" s="186">
        <v>7</v>
      </c>
      <c r="C169" s="132" t="s">
        <v>15</v>
      </c>
      <c r="D169" s="132" t="s">
        <v>17</v>
      </c>
      <c r="E169" s="132">
        <v>100</v>
      </c>
      <c r="F169" s="132">
        <v>0</v>
      </c>
      <c r="G169" s="23"/>
      <c r="H169" s="132">
        <v>330000</v>
      </c>
      <c r="K169" s="132">
        <v>2.5</v>
      </c>
      <c r="L169" s="132" t="s">
        <v>18</v>
      </c>
      <c r="M169" s="334" t="s">
        <v>689</v>
      </c>
      <c r="N169" s="132" t="s">
        <v>33</v>
      </c>
      <c r="O169" s="132">
        <v>10</v>
      </c>
      <c r="P169" s="132" t="s">
        <v>16</v>
      </c>
      <c r="T169" s="304">
        <v>90</v>
      </c>
      <c r="V169" s="229">
        <v>178</v>
      </c>
    </row>
    <row r="170" spans="1:22" ht="15.75" customHeight="1">
      <c r="A170" s="193">
        <v>42</v>
      </c>
      <c r="B170" s="186">
        <v>8</v>
      </c>
      <c r="C170" s="132" t="s">
        <v>15</v>
      </c>
      <c r="D170" s="132" t="s">
        <v>17</v>
      </c>
      <c r="E170" s="132">
        <v>100</v>
      </c>
      <c r="F170" s="132">
        <v>0</v>
      </c>
      <c r="G170" s="23"/>
      <c r="H170" s="132">
        <v>330000</v>
      </c>
      <c r="K170" s="132">
        <v>2.5</v>
      </c>
      <c r="L170" s="132" t="s">
        <v>18</v>
      </c>
      <c r="M170" s="334" t="s">
        <v>689</v>
      </c>
      <c r="N170" s="132" t="s">
        <v>33</v>
      </c>
      <c r="O170" s="132">
        <v>20</v>
      </c>
      <c r="P170" s="132" t="s">
        <v>16</v>
      </c>
      <c r="T170" s="304">
        <v>80</v>
      </c>
      <c r="V170" s="229">
        <v>179</v>
      </c>
    </row>
    <row r="171" spans="1:22" ht="15.75" customHeight="1">
      <c r="A171" s="193">
        <v>42</v>
      </c>
      <c r="B171" s="186">
        <v>9</v>
      </c>
      <c r="C171" s="132" t="s">
        <v>15</v>
      </c>
      <c r="D171" s="132" t="s">
        <v>17</v>
      </c>
      <c r="E171" s="132">
        <v>100</v>
      </c>
      <c r="F171" s="132">
        <v>0</v>
      </c>
      <c r="G171" s="23"/>
      <c r="H171" s="132">
        <v>330000</v>
      </c>
      <c r="K171" s="132">
        <v>2.5</v>
      </c>
      <c r="L171" s="132" t="s">
        <v>18</v>
      </c>
      <c r="M171" s="334" t="s">
        <v>689</v>
      </c>
      <c r="N171" s="132" t="s">
        <v>33</v>
      </c>
      <c r="O171" s="132">
        <v>25</v>
      </c>
      <c r="P171" s="132" t="s">
        <v>16</v>
      </c>
      <c r="T171" s="304">
        <v>75</v>
      </c>
      <c r="V171" s="229">
        <v>180</v>
      </c>
    </row>
    <row r="172" spans="1:22" ht="15.75" customHeight="1" thickBot="1">
      <c r="A172" s="191">
        <v>42</v>
      </c>
      <c r="B172" s="188">
        <v>10</v>
      </c>
      <c r="C172" s="189" t="s">
        <v>15</v>
      </c>
      <c r="D172" s="189" t="s">
        <v>17</v>
      </c>
      <c r="E172" s="189">
        <v>100</v>
      </c>
      <c r="F172" s="189">
        <v>0</v>
      </c>
      <c r="G172" s="39"/>
      <c r="H172" s="189">
        <v>330000</v>
      </c>
      <c r="I172" s="195"/>
      <c r="J172" s="195"/>
      <c r="K172" s="189">
        <v>2.5</v>
      </c>
      <c r="L172" s="189" t="s">
        <v>18</v>
      </c>
      <c r="M172" s="353" t="s">
        <v>689</v>
      </c>
      <c r="N172" s="189" t="s">
        <v>33</v>
      </c>
      <c r="O172" s="189">
        <v>30</v>
      </c>
      <c r="P172" s="189" t="s">
        <v>16</v>
      </c>
      <c r="Q172" s="352"/>
      <c r="R172" s="195"/>
      <c r="S172" s="195"/>
      <c r="T172" s="308">
        <v>70</v>
      </c>
      <c r="V172" s="229">
        <v>181</v>
      </c>
    </row>
    <row r="173" spans="1:22" ht="15.75" customHeight="1">
      <c r="A173" s="193">
        <v>43</v>
      </c>
      <c r="B173" s="186">
        <v>1</v>
      </c>
      <c r="C173" s="132" t="s">
        <v>15</v>
      </c>
      <c r="D173" s="132" t="s">
        <v>17</v>
      </c>
      <c r="E173" s="132">
        <v>100</v>
      </c>
      <c r="F173" s="132">
        <v>0</v>
      </c>
      <c r="G173" s="22">
        <v>223000</v>
      </c>
      <c r="H173" s="35"/>
      <c r="I173" s="35"/>
      <c r="J173" s="35"/>
      <c r="K173" s="132">
        <v>1.23</v>
      </c>
      <c r="L173" s="132" t="s">
        <v>16</v>
      </c>
      <c r="N173" s="35"/>
      <c r="O173" s="35"/>
      <c r="P173" s="132" t="s">
        <v>16</v>
      </c>
      <c r="R173" s="35"/>
      <c r="S173" s="35"/>
      <c r="T173" s="304">
        <v>100</v>
      </c>
      <c r="V173" s="229">
        <v>182</v>
      </c>
    </row>
    <row r="174" spans="1:22" ht="15.75" customHeight="1">
      <c r="A174" s="193">
        <v>43</v>
      </c>
      <c r="B174" s="186">
        <v>2</v>
      </c>
      <c r="C174" s="132" t="s">
        <v>15</v>
      </c>
      <c r="D174" s="132" t="s">
        <v>17</v>
      </c>
      <c r="E174" s="132">
        <v>100</v>
      </c>
      <c r="F174" s="132">
        <v>0</v>
      </c>
      <c r="G174" s="22">
        <v>223000</v>
      </c>
      <c r="H174" s="35"/>
      <c r="I174" s="35"/>
      <c r="J174" s="35"/>
      <c r="K174" s="132">
        <v>1.23</v>
      </c>
      <c r="L174" s="132" t="s">
        <v>18</v>
      </c>
      <c r="M174" s="334" t="s">
        <v>688</v>
      </c>
      <c r="N174" s="132" t="s">
        <v>38</v>
      </c>
      <c r="O174" s="132">
        <v>30</v>
      </c>
      <c r="P174" s="132" t="s">
        <v>16</v>
      </c>
      <c r="R174" s="35"/>
      <c r="S174" s="35"/>
      <c r="T174" s="304">
        <v>70</v>
      </c>
      <c r="V174" s="229">
        <v>183</v>
      </c>
    </row>
    <row r="175" spans="1:22" ht="15.75" customHeight="1">
      <c r="A175" s="193">
        <v>43</v>
      </c>
      <c r="B175" s="186">
        <v>3</v>
      </c>
      <c r="C175" s="132" t="s">
        <v>15</v>
      </c>
      <c r="D175" s="132" t="s">
        <v>17</v>
      </c>
      <c r="E175" s="132">
        <v>100</v>
      </c>
      <c r="F175" s="132">
        <v>0</v>
      </c>
      <c r="G175" s="22">
        <v>223000</v>
      </c>
      <c r="H175" s="35"/>
      <c r="I175" s="35"/>
      <c r="J175" s="35"/>
      <c r="K175" s="132">
        <v>1.23</v>
      </c>
      <c r="L175" s="132" t="s">
        <v>18</v>
      </c>
      <c r="M175" s="334" t="s">
        <v>688</v>
      </c>
      <c r="N175" s="132" t="s">
        <v>39</v>
      </c>
      <c r="O175" s="132">
        <v>30</v>
      </c>
      <c r="P175" s="132" t="s">
        <v>16</v>
      </c>
      <c r="R175" s="35"/>
      <c r="S175" s="35"/>
      <c r="T175" s="304">
        <v>70</v>
      </c>
      <c r="V175" s="229">
        <v>184</v>
      </c>
    </row>
    <row r="176" spans="1:22" ht="15.75" customHeight="1">
      <c r="A176" s="193">
        <v>43</v>
      </c>
      <c r="B176" s="186">
        <v>4</v>
      </c>
      <c r="C176" s="132" t="s">
        <v>15</v>
      </c>
      <c r="D176" s="132" t="s">
        <v>17</v>
      </c>
      <c r="E176" s="132">
        <v>100</v>
      </c>
      <c r="F176" s="132">
        <v>0</v>
      </c>
      <c r="G176" s="22">
        <v>223000</v>
      </c>
      <c r="H176" s="35"/>
      <c r="I176" s="35"/>
      <c r="J176" s="35"/>
      <c r="K176" s="132">
        <v>1.23</v>
      </c>
      <c r="L176" s="132" t="s">
        <v>18</v>
      </c>
      <c r="M176" s="334" t="s">
        <v>688</v>
      </c>
      <c r="N176" s="132" t="s">
        <v>40</v>
      </c>
      <c r="O176" s="132">
        <v>30</v>
      </c>
      <c r="P176" s="132" t="s">
        <v>16</v>
      </c>
      <c r="R176" s="35"/>
      <c r="S176" s="35"/>
      <c r="T176" s="304">
        <v>70</v>
      </c>
      <c r="V176" s="229">
        <v>185</v>
      </c>
    </row>
    <row r="177" spans="1:22" ht="15.75" customHeight="1">
      <c r="A177" s="193">
        <v>43</v>
      </c>
      <c r="B177" s="186">
        <v>5</v>
      </c>
      <c r="C177" s="132" t="s">
        <v>15</v>
      </c>
      <c r="D177" s="132" t="s">
        <v>17</v>
      </c>
      <c r="E177" s="132">
        <v>100</v>
      </c>
      <c r="F177" s="132">
        <v>0</v>
      </c>
      <c r="G177" s="22">
        <v>223000</v>
      </c>
      <c r="H177" s="35"/>
      <c r="I177" s="35"/>
      <c r="J177" s="35"/>
      <c r="K177" s="132">
        <v>1.23</v>
      </c>
      <c r="L177" s="132" t="s">
        <v>18</v>
      </c>
      <c r="M177" s="334" t="s">
        <v>688</v>
      </c>
      <c r="N177" s="132" t="s">
        <v>41</v>
      </c>
      <c r="O177" s="132">
        <v>30</v>
      </c>
      <c r="P177" s="132" t="s">
        <v>16</v>
      </c>
      <c r="R177" s="35"/>
      <c r="S177" s="35"/>
      <c r="T177" s="304">
        <v>70</v>
      </c>
      <c r="V177" s="229">
        <v>186</v>
      </c>
    </row>
    <row r="178" spans="1:22" ht="15.75" customHeight="1" thickBot="1">
      <c r="A178" s="191">
        <v>43</v>
      </c>
      <c r="B178" s="188">
        <v>6</v>
      </c>
      <c r="C178" s="189" t="s">
        <v>15</v>
      </c>
      <c r="D178" s="189" t="s">
        <v>17</v>
      </c>
      <c r="E178" s="189">
        <v>100</v>
      </c>
      <c r="F178" s="189">
        <v>0</v>
      </c>
      <c r="G178" s="37">
        <v>223000</v>
      </c>
      <c r="H178" s="190"/>
      <c r="I178" s="190"/>
      <c r="J178" s="190"/>
      <c r="K178" s="189">
        <v>1.23</v>
      </c>
      <c r="L178" s="189" t="s">
        <v>18</v>
      </c>
      <c r="M178" s="353" t="s">
        <v>688</v>
      </c>
      <c r="N178" s="189" t="s">
        <v>42</v>
      </c>
      <c r="O178" s="189">
        <v>30</v>
      </c>
      <c r="P178" s="189" t="s">
        <v>16</v>
      </c>
      <c r="Q178" s="352"/>
      <c r="R178" s="190"/>
      <c r="S178" s="190"/>
      <c r="T178" s="308">
        <v>70</v>
      </c>
      <c r="V178" s="229">
        <v>187</v>
      </c>
    </row>
    <row r="179" spans="1:22" ht="15.75" customHeight="1">
      <c r="A179" s="193">
        <v>44</v>
      </c>
      <c r="B179" s="186">
        <v>1</v>
      </c>
      <c r="C179" s="132" t="s">
        <v>15</v>
      </c>
      <c r="D179" s="132" t="s">
        <v>17</v>
      </c>
      <c r="E179" s="132">
        <v>98</v>
      </c>
      <c r="F179" s="132">
        <v>2</v>
      </c>
      <c r="G179" s="22">
        <v>280000</v>
      </c>
      <c r="I179" s="132">
        <v>1.23</v>
      </c>
      <c r="J179" s="132" t="s">
        <v>25</v>
      </c>
      <c r="L179" s="132" t="s">
        <v>16</v>
      </c>
      <c r="N179" s="35"/>
      <c r="O179" s="35"/>
      <c r="P179" s="132" t="s">
        <v>16</v>
      </c>
      <c r="S179" s="35"/>
      <c r="T179" s="304">
        <v>100</v>
      </c>
      <c r="V179" s="229">
        <v>188</v>
      </c>
    </row>
    <row r="180" spans="1:22" ht="15.75" customHeight="1">
      <c r="A180" s="193">
        <v>44</v>
      </c>
      <c r="B180" s="186">
        <v>2</v>
      </c>
      <c r="C180" s="132" t="s">
        <v>15</v>
      </c>
      <c r="D180" s="132" t="s">
        <v>17</v>
      </c>
      <c r="E180" s="132">
        <v>98</v>
      </c>
      <c r="F180" s="132">
        <v>2</v>
      </c>
      <c r="G180" s="22">
        <v>280000</v>
      </c>
      <c r="I180" s="132">
        <v>1.23</v>
      </c>
      <c r="J180" s="132" t="s">
        <v>25</v>
      </c>
      <c r="L180" s="132" t="s">
        <v>18</v>
      </c>
      <c r="M180" s="334" t="s">
        <v>688</v>
      </c>
      <c r="N180" s="132" t="s">
        <v>43</v>
      </c>
      <c r="O180" s="132">
        <v>2.5</v>
      </c>
      <c r="P180" s="132" t="s">
        <v>16</v>
      </c>
      <c r="S180" s="35"/>
      <c r="T180" s="304">
        <v>97.5</v>
      </c>
      <c r="V180" s="229">
        <v>189</v>
      </c>
    </row>
    <row r="181" spans="1:22" ht="15.75" customHeight="1">
      <c r="A181" s="193">
        <v>44</v>
      </c>
      <c r="B181" s="186">
        <v>3</v>
      </c>
      <c r="C181" s="132" t="s">
        <v>15</v>
      </c>
      <c r="D181" s="132" t="s">
        <v>17</v>
      </c>
      <c r="E181" s="132">
        <v>98</v>
      </c>
      <c r="F181" s="132">
        <v>2</v>
      </c>
      <c r="G181" s="22">
        <v>280000</v>
      </c>
      <c r="I181" s="132">
        <v>1.23</v>
      </c>
      <c r="J181" s="132" t="s">
        <v>25</v>
      </c>
      <c r="L181" s="132" t="s">
        <v>18</v>
      </c>
      <c r="M181" s="334" t="s">
        <v>688</v>
      </c>
      <c r="N181" s="132" t="s">
        <v>43</v>
      </c>
      <c r="O181" s="132">
        <v>5</v>
      </c>
      <c r="P181" s="132" t="s">
        <v>16</v>
      </c>
      <c r="S181" s="35"/>
      <c r="T181" s="304">
        <v>95</v>
      </c>
      <c r="V181" s="229">
        <v>190</v>
      </c>
    </row>
    <row r="182" spans="1:22" ht="15.75" customHeight="1">
      <c r="A182" s="193">
        <v>44</v>
      </c>
      <c r="B182" s="186">
        <v>4</v>
      </c>
      <c r="C182" s="132" t="s">
        <v>15</v>
      </c>
      <c r="D182" s="132" t="s">
        <v>17</v>
      </c>
      <c r="E182" s="132">
        <v>98</v>
      </c>
      <c r="F182" s="132">
        <v>2</v>
      </c>
      <c r="G182" s="22">
        <v>280000</v>
      </c>
      <c r="I182" s="132">
        <v>1.23</v>
      </c>
      <c r="J182" s="132" t="s">
        <v>25</v>
      </c>
      <c r="L182" s="132" t="s">
        <v>18</v>
      </c>
      <c r="M182" s="334" t="s">
        <v>688</v>
      </c>
      <c r="N182" s="132" t="s">
        <v>43</v>
      </c>
      <c r="O182" s="132">
        <v>10</v>
      </c>
      <c r="P182" s="132" t="s">
        <v>16</v>
      </c>
      <c r="S182" s="35"/>
      <c r="T182" s="304">
        <v>90</v>
      </c>
      <c r="V182" s="229">
        <v>191</v>
      </c>
    </row>
    <row r="183" spans="1:22" ht="15.75" customHeight="1">
      <c r="A183" s="193">
        <v>44</v>
      </c>
      <c r="B183" s="186">
        <v>5</v>
      </c>
      <c r="C183" s="132" t="s">
        <v>15</v>
      </c>
      <c r="D183" s="132" t="s">
        <v>17</v>
      </c>
      <c r="E183" s="132">
        <v>98</v>
      </c>
      <c r="F183" s="132">
        <v>2</v>
      </c>
      <c r="G183" s="22">
        <v>280000</v>
      </c>
      <c r="I183" s="132">
        <v>1.23</v>
      </c>
      <c r="J183" s="132" t="s">
        <v>25</v>
      </c>
      <c r="L183" s="132" t="s">
        <v>18</v>
      </c>
      <c r="M183" s="334" t="s">
        <v>688</v>
      </c>
      <c r="N183" s="132" t="s">
        <v>44</v>
      </c>
      <c r="O183" s="132">
        <v>1</v>
      </c>
      <c r="P183" s="132" t="s">
        <v>16</v>
      </c>
      <c r="R183" s="35"/>
      <c r="S183" s="35"/>
      <c r="T183" s="304">
        <v>99</v>
      </c>
      <c r="V183" s="229">
        <v>192</v>
      </c>
    </row>
    <row r="184" spans="1:22" ht="15.75" customHeight="1">
      <c r="A184" s="193">
        <v>44</v>
      </c>
      <c r="B184" s="186">
        <v>6</v>
      </c>
      <c r="C184" s="132" t="s">
        <v>15</v>
      </c>
      <c r="D184" s="132" t="s">
        <v>17</v>
      </c>
      <c r="E184" s="132">
        <v>98</v>
      </c>
      <c r="F184" s="132">
        <v>2</v>
      </c>
      <c r="G184" s="22">
        <v>280000</v>
      </c>
      <c r="I184" s="132">
        <v>1.23</v>
      </c>
      <c r="J184" s="132" t="s">
        <v>25</v>
      </c>
      <c r="L184" s="132" t="s">
        <v>18</v>
      </c>
      <c r="M184" s="334" t="s">
        <v>688</v>
      </c>
      <c r="N184" s="132" t="s">
        <v>45</v>
      </c>
      <c r="O184" s="132">
        <v>1</v>
      </c>
      <c r="P184" s="132" t="s">
        <v>18</v>
      </c>
      <c r="Q184" s="334" t="s">
        <v>688</v>
      </c>
      <c r="R184" s="132" t="s">
        <v>46</v>
      </c>
      <c r="S184" s="132">
        <v>0.25</v>
      </c>
      <c r="T184" s="304">
        <v>98.75</v>
      </c>
      <c r="V184" s="229">
        <v>193</v>
      </c>
    </row>
    <row r="185" spans="1:22" ht="15.75" customHeight="1" thickBot="1">
      <c r="A185" s="191">
        <v>44</v>
      </c>
      <c r="B185" s="188">
        <v>7</v>
      </c>
      <c r="C185" s="189" t="s">
        <v>15</v>
      </c>
      <c r="D185" s="189" t="s">
        <v>17</v>
      </c>
      <c r="E185" s="189">
        <v>98</v>
      </c>
      <c r="F185" s="189">
        <v>2</v>
      </c>
      <c r="G185" s="37">
        <v>280000</v>
      </c>
      <c r="H185" s="195"/>
      <c r="I185" s="189">
        <v>1.23</v>
      </c>
      <c r="J185" s="189" t="s">
        <v>25</v>
      </c>
      <c r="K185" s="195"/>
      <c r="L185" s="189" t="s">
        <v>18</v>
      </c>
      <c r="M185" s="353" t="s">
        <v>688</v>
      </c>
      <c r="N185" s="189" t="s">
        <v>43</v>
      </c>
      <c r="O185" s="189">
        <v>4.9800000000000004</v>
      </c>
      <c r="P185" s="189" t="s">
        <v>18</v>
      </c>
      <c r="Q185" s="352" t="s">
        <v>688</v>
      </c>
      <c r="R185" s="189" t="s">
        <v>44</v>
      </c>
      <c r="S185" s="189">
        <v>0.96</v>
      </c>
      <c r="T185" s="308">
        <v>94.06</v>
      </c>
      <c r="V185" s="229">
        <v>194</v>
      </c>
    </row>
    <row r="186" spans="1:22" ht="15.75" customHeight="1">
      <c r="A186" s="193">
        <v>45</v>
      </c>
      <c r="B186" s="186">
        <v>1</v>
      </c>
      <c r="C186" s="132" t="s">
        <v>15</v>
      </c>
      <c r="D186" s="132" t="s">
        <v>17</v>
      </c>
      <c r="E186" s="132">
        <v>100</v>
      </c>
      <c r="F186" s="132">
        <v>0</v>
      </c>
      <c r="G186" s="17"/>
      <c r="H186" s="35"/>
      <c r="I186" s="35"/>
      <c r="J186" s="35"/>
      <c r="K186" s="35"/>
      <c r="L186" s="132" t="s">
        <v>16</v>
      </c>
      <c r="P186" s="132" t="s">
        <v>16</v>
      </c>
      <c r="T186" s="298">
        <v>100</v>
      </c>
      <c r="V186" s="229">
        <v>195</v>
      </c>
    </row>
    <row r="187" spans="1:22" ht="15.75" customHeight="1">
      <c r="A187" s="193">
        <v>45</v>
      </c>
      <c r="B187" s="186">
        <v>2</v>
      </c>
      <c r="C187" s="132" t="s">
        <v>15</v>
      </c>
      <c r="D187" s="132" t="s">
        <v>17</v>
      </c>
      <c r="E187" s="132">
        <v>84</v>
      </c>
      <c r="F187" s="132">
        <v>16</v>
      </c>
      <c r="G187" s="17"/>
      <c r="H187" s="35"/>
      <c r="I187" s="35"/>
      <c r="J187" s="35"/>
      <c r="K187" s="35"/>
      <c r="L187" s="132" t="s">
        <v>16</v>
      </c>
      <c r="P187" s="132" t="s">
        <v>16</v>
      </c>
      <c r="T187" s="298">
        <v>100</v>
      </c>
      <c r="V187" s="229">
        <v>196</v>
      </c>
    </row>
    <row r="188" spans="1:22" ht="15.75" customHeight="1" thickBot="1">
      <c r="A188" s="191">
        <v>45</v>
      </c>
      <c r="B188" s="188">
        <v>3</v>
      </c>
      <c r="C188" s="189" t="s">
        <v>15</v>
      </c>
      <c r="D188" s="189" t="s">
        <v>17</v>
      </c>
      <c r="E188" s="189">
        <v>47</v>
      </c>
      <c r="F188" s="189">
        <v>53</v>
      </c>
      <c r="G188" s="40"/>
      <c r="H188" s="190"/>
      <c r="I188" s="190"/>
      <c r="J188" s="190"/>
      <c r="K188" s="190"/>
      <c r="L188" s="189" t="s">
        <v>16</v>
      </c>
      <c r="M188" s="352"/>
      <c r="N188" s="195"/>
      <c r="O188" s="195"/>
      <c r="P188" s="189" t="s">
        <v>16</v>
      </c>
      <c r="Q188" s="352"/>
      <c r="R188" s="195"/>
      <c r="S188" s="195"/>
      <c r="T188" s="307">
        <v>100</v>
      </c>
      <c r="V188" s="229">
        <v>197</v>
      </c>
    </row>
    <row r="189" spans="1:22" ht="15.75" customHeight="1">
      <c r="A189" s="193">
        <v>46</v>
      </c>
      <c r="B189" s="186">
        <v>1</v>
      </c>
      <c r="C189" s="132" t="s">
        <v>15</v>
      </c>
      <c r="D189" s="132" t="s">
        <v>17</v>
      </c>
      <c r="E189" s="132">
        <v>91</v>
      </c>
      <c r="F189" s="132">
        <v>9</v>
      </c>
      <c r="G189" s="22">
        <v>23900</v>
      </c>
      <c r="H189" s="35"/>
      <c r="I189" s="35"/>
      <c r="J189" s="35"/>
      <c r="K189" s="132">
        <v>3.15</v>
      </c>
      <c r="L189" s="132" t="s">
        <v>16</v>
      </c>
      <c r="N189" s="132"/>
      <c r="O189" s="35"/>
      <c r="P189" s="132" t="s">
        <v>16</v>
      </c>
      <c r="R189" s="35"/>
      <c r="S189" s="35"/>
      <c r="T189" s="298">
        <v>100</v>
      </c>
      <c r="V189" s="229">
        <v>198</v>
      </c>
    </row>
    <row r="190" spans="1:22" ht="15.75" customHeight="1">
      <c r="A190" s="193">
        <v>46</v>
      </c>
      <c r="B190" s="186">
        <v>2</v>
      </c>
      <c r="C190" s="132" t="s">
        <v>15</v>
      </c>
      <c r="D190" s="132" t="s">
        <v>17</v>
      </c>
      <c r="E190" s="132">
        <v>91</v>
      </c>
      <c r="F190" s="132">
        <v>9</v>
      </c>
      <c r="G190" s="22">
        <v>23900</v>
      </c>
      <c r="H190" s="35"/>
      <c r="I190" s="35"/>
      <c r="J190" s="35"/>
      <c r="K190" s="132">
        <v>3.15</v>
      </c>
      <c r="L190" s="132" t="s">
        <v>18</v>
      </c>
      <c r="M190" s="334" t="s">
        <v>688</v>
      </c>
      <c r="N190" s="132" t="s">
        <v>47</v>
      </c>
      <c r="O190" s="132">
        <v>0.1</v>
      </c>
      <c r="P190" s="132" t="s">
        <v>16</v>
      </c>
      <c r="R190" s="35"/>
      <c r="S190" s="35"/>
      <c r="T190" s="304">
        <v>99.9</v>
      </c>
      <c r="V190" s="229">
        <v>199</v>
      </c>
    </row>
    <row r="191" spans="1:22" ht="15.75" customHeight="1">
      <c r="A191" s="193">
        <v>46</v>
      </c>
      <c r="B191" s="186">
        <v>3</v>
      </c>
      <c r="C191" s="132" t="s">
        <v>15</v>
      </c>
      <c r="D191" s="132" t="s">
        <v>17</v>
      </c>
      <c r="E191" s="132">
        <v>91</v>
      </c>
      <c r="F191" s="132">
        <v>9</v>
      </c>
      <c r="G191" s="22">
        <v>23900</v>
      </c>
      <c r="H191" s="35"/>
      <c r="I191" s="35"/>
      <c r="J191" s="35"/>
      <c r="K191" s="132">
        <v>3.15</v>
      </c>
      <c r="L191" s="132" t="s">
        <v>18</v>
      </c>
      <c r="M191" s="334" t="s">
        <v>688</v>
      </c>
      <c r="N191" s="132" t="s">
        <v>47</v>
      </c>
      <c r="O191" s="132">
        <v>0.3</v>
      </c>
      <c r="P191" s="132" t="s">
        <v>16</v>
      </c>
      <c r="R191" s="35"/>
      <c r="S191" s="35"/>
      <c r="T191" s="304">
        <v>99.7</v>
      </c>
      <c r="V191" s="229">
        <v>200</v>
      </c>
    </row>
    <row r="192" spans="1:22" ht="15.75" customHeight="1">
      <c r="A192" s="193">
        <v>46</v>
      </c>
      <c r="B192" s="186">
        <v>4</v>
      </c>
      <c r="C192" s="132" t="s">
        <v>15</v>
      </c>
      <c r="D192" s="132" t="s">
        <v>17</v>
      </c>
      <c r="E192" s="132">
        <v>91</v>
      </c>
      <c r="F192" s="132">
        <v>9</v>
      </c>
      <c r="G192" s="22">
        <v>23900</v>
      </c>
      <c r="H192" s="35"/>
      <c r="I192" s="35"/>
      <c r="J192" s="35"/>
      <c r="K192" s="132">
        <v>3.15</v>
      </c>
      <c r="L192" s="132" t="s">
        <v>18</v>
      </c>
      <c r="M192" s="334" t="s">
        <v>688</v>
      </c>
      <c r="N192" s="132" t="s">
        <v>47</v>
      </c>
      <c r="O192" s="132">
        <v>0.5</v>
      </c>
      <c r="P192" s="132" t="s">
        <v>16</v>
      </c>
      <c r="R192" s="35"/>
      <c r="S192" s="35"/>
      <c r="T192" s="304">
        <v>99.5</v>
      </c>
      <c r="V192" s="229">
        <v>201</v>
      </c>
    </row>
    <row r="193" spans="1:22" ht="15.75" customHeight="1">
      <c r="A193" s="193">
        <v>46</v>
      </c>
      <c r="B193" s="186">
        <v>5</v>
      </c>
      <c r="C193" s="132" t="s">
        <v>15</v>
      </c>
      <c r="D193" s="132" t="s">
        <v>17</v>
      </c>
      <c r="E193" s="132">
        <v>91</v>
      </c>
      <c r="F193" s="132">
        <v>9</v>
      </c>
      <c r="G193" s="22">
        <v>23900</v>
      </c>
      <c r="H193" s="35"/>
      <c r="I193" s="35"/>
      <c r="J193" s="35"/>
      <c r="K193" s="132">
        <v>3.15</v>
      </c>
      <c r="L193" s="132" t="s">
        <v>18</v>
      </c>
      <c r="M193" s="334" t="s">
        <v>688</v>
      </c>
      <c r="N193" s="132" t="s">
        <v>47</v>
      </c>
      <c r="O193" s="132">
        <v>1</v>
      </c>
      <c r="P193" s="132" t="s">
        <v>16</v>
      </c>
      <c r="R193" s="35"/>
      <c r="S193" s="35"/>
      <c r="T193" s="304">
        <v>99</v>
      </c>
      <c r="V193" s="229">
        <v>202</v>
      </c>
    </row>
    <row r="194" spans="1:22" ht="15.75" customHeight="1" thickBot="1">
      <c r="A194" s="191">
        <v>46</v>
      </c>
      <c r="B194" s="188">
        <v>6</v>
      </c>
      <c r="C194" s="189" t="s">
        <v>15</v>
      </c>
      <c r="D194" s="189" t="s">
        <v>17</v>
      </c>
      <c r="E194" s="189">
        <v>91</v>
      </c>
      <c r="F194" s="189">
        <v>9</v>
      </c>
      <c r="G194" s="37">
        <v>23900</v>
      </c>
      <c r="H194" s="190"/>
      <c r="I194" s="190"/>
      <c r="J194" s="190"/>
      <c r="K194" s="189">
        <v>3.15</v>
      </c>
      <c r="L194" s="189" t="s">
        <v>18</v>
      </c>
      <c r="M194" s="353" t="s">
        <v>688</v>
      </c>
      <c r="N194" s="189" t="s">
        <v>47</v>
      </c>
      <c r="O194" s="189">
        <v>3</v>
      </c>
      <c r="P194" s="189" t="s">
        <v>16</v>
      </c>
      <c r="Q194" s="352"/>
      <c r="R194" s="190"/>
      <c r="S194" s="190"/>
      <c r="T194" s="308">
        <v>97</v>
      </c>
      <c r="V194" s="229">
        <v>203</v>
      </c>
    </row>
    <row r="195" spans="1:22" ht="15.75" customHeight="1">
      <c r="A195" s="193">
        <v>47</v>
      </c>
      <c r="B195" s="186">
        <v>1</v>
      </c>
      <c r="C195" s="132" t="s">
        <v>15</v>
      </c>
      <c r="D195" s="132" t="s">
        <v>15</v>
      </c>
      <c r="E195" s="132">
        <v>100</v>
      </c>
      <c r="F195" s="132">
        <v>0</v>
      </c>
      <c r="G195" s="22">
        <v>490000</v>
      </c>
      <c r="H195" s="35"/>
      <c r="I195" s="132">
        <v>1.25</v>
      </c>
      <c r="J195" s="132" t="s">
        <v>25</v>
      </c>
      <c r="K195" s="35"/>
      <c r="L195" s="132" t="s">
        <v>18</v>
      </c>
      <c r="M195" s="334" t="s">
        <v>689</v>
      </c>
      <c r="N195" s="132" t="s">
        <v>33</v>
      </c>
      <c r="O195" s="132">
        <v>10</v>
      </c>
      <c r="P195" s="132" t="s">
        <v>16</v>
      </c>
      <c r="R195" s="35"/>
      <c r="S195" s="35"/>
      <c r="T195" s="304">
        <v>90</v>
      </c>
      <c r="V195" s="229">
        <v>204</v>
      </c>
    </row>
    <row r="196" spans="1:22" ht="15.75" customHeight="1">
      <c r="A196" s="193">
        <v>47</v>
      </c>
      <c r="B196" s="186">
        <v>2</v>
      </c>
      <c r="C196" s="132" t="s">
        <v>15</v>
      </c>
      <c r="D196" s="132" t="s">
        <v>17</v>
      </c>
      <c r="E196" s="132">
        <v>100</v>
      </c>
      <c r="F196" s="132">
        <v>0</v>
      </c>
      <c r="G196" s="22">
        <v>490000</v>
      </c>
      <c r="H196" s="35"/>
      <c r="I196" s="132">
        <v>1.25</v>
      </c>
      <c r="J196" s="132" t="s">
        <v>25</v>
      </c>
      <c r="K196" s="35"/>
      <c r="L196" s="132" t="s">
        <v>18</v>
      </c>
      <c r="M196" s="334" t="s">
        <v>689</v>
      </c>
      <c r="N196" s="132" t="s">
        <v>33</v>
      </c>
      <c r="O196" s="132">
        <v>10</v>
      </c>
      <c r="P196" s="132" t="s">
        <v>18</v>
      </c>
      <c r="Q196" s="334" t="s">
        <v>688</v>
      </c>
      <c r="R196" s="132" t="s">
        <v>48</v>
      </c>
      <c r="S196" s="132">
        <v>2</v>
      </c>
      <c r="T196" s="304">
        <v>88</v>
      </c>
      <c r="V196" s="229">
        <v>205</v>
      </c>
    </row>
    <row r="197" spans="1:22" ht="15.75" customHeight="1">
      <c r="A197" s="193">
        <v>47</v>
      </c>
      <c r="B197" s="186">
        <v>3</v>
      </c>
      <c r="C197" s="132" t="s">
        <v>15</v>
      </c>
      <c r="D197" s="132" t="s">
        <v>17</v>
      </c>
      <c r="E197" s="132">
        <v>100</v>
      </c>
      <c r="F197" s="132">
        <v>0</v>
      </c>
      <c r="G197" s="22">
        <v>490000</v>
      </c>
      <c r="H197" s="35"/>
      <c r="I197" s="132">
        <v>1.25</v>
      </c>
      <c r="J197" s="132" t="s">
        <v>25</v>
      </c>
      <c r="K197" s="35"/>
      <c r="L197" s="132" t="s">
        <v>18</v>
      </c>
      <c r="M197" s="334" t="s">
        <v>689</v>
      </c>
      <c r="N197" s="132" t="s">
        <v>33</v>
      </c>
      <c r="O197" s="132">
        <v>10</v>
      </c>
      <c r="P197" s="132" t="s">
        <v>18</v>
      </c>
      <c r="Q197" s="334" t="s">
        <v>688</v>
      </c>
      <c r="R197" s="132" t="s">
        <v>48</v>
      </c>
      <c r="S197" s="132">
        <v>5</v>
      </c>
      <c r="T197" s="304">
        <v>85</v>
      </c>
      <c r="V197" s="229">
        <v>206</v>
      </c>
    </row>
    <row r="198" spans="1:22" ht="15.75" customHeight="1">
      <c r="A198" s="193">
        <v>47</v>
      </c>
      <c r="B198" s="186">
        <v>4</v>
      </c>
      <c r="C198" s="132" t="s">
        <v>15</v>
      </c>
      <c r="D198" s="132" t="s">
        <v>17</v>
      </c>
      <c r="E198" s="132">
        <v>100</v>
      </c>
      <c r="F198" s="132">
        <v>0</v>
      </c>
      <c r="G198" s="22">
        <v>490000</v>
      </c>
      <c r="H198" s="35"/>
      <c r="I198" s="132">
        <v>1.25</v>
      </c>
      <c r="J198" s="132" t="s">
        <v>25</v>
      </c>
      <c r="K198" s="35"/>
      <c r="L198" s="132" t="s">
        <v>18</v>
      </c>
      <c r="M198" s="334" t="s">
        <v>689</v>
      </c>
      <c r="N198" s="132" t="s">
        <v>33</v>
      </c>
      <c r="O198" s="132">
        <v>10</v>
      </c>
      <c r="P198" s="132" t="s">
        <v>18</v>
      </c>
      <c r="Q198" s="334" t="s">
        <v>688</v>
      </c>
      <c r="R198" s="132" t="s">
        <v>48</v>
      </c>
      <c r="S198" s="132">
        <v>10</v>
      </c>
      <c r="T198" s="304">
        <v>80</v>
      </c>
      <c r="V198" s="229">
        <v>207</v>
      </c>
    </row>
    <row r="199" spans="1:22" ht="15.75" customHeight="1" thickBot="1">
      <c r="A199" s="191">
        <v>47</v>
      </c>
      <c r="B199" s="188">
        <v>5</v>
      </c>
      <c r="C199" s="189" t="s">
        <v>15</v>
      </c>
      <c r="D199" s="189" t="s">
        <v>17</v>
      </c>
      <c r="E199" s="189">
        <v>100</v>
      </c>
      <c r="F199" s="189">
        <v>0</v>
      </c>
      <c r="G199" s="37">
        <v>490000</v>
      </c>
      <c r="H199" s="190"/>
      <c r="I199" s="189">
        <v>1.25</v>
      </c>
      <c r="J199" s="189" t="s">
        <v>25</v>
      </c>
      <c r="K199" s="190"/>
      <c r="L199" s="189" t="s">
        <v>18</v>
      </c>
      <c r="M199" s="353" t="s">
        <v>689</v>
      </c>
      <c r="N199" s="189" t="s">
        <v>33</v>
      </c>
      <c r="O199" s="189">
        <v>20</v>
      </c>
      <c r="P199" s="189" t="s">
        <v>18</v>
      </c>
      <c r="Q199" s="353" t="s">
        <v>688</v>
      </c>
      <c r="R199" s="200" t="s">
        <v>48</v>
      </c>
      <c r="S199" s="189">
        <v>5</v>
      </c>
      <c r="T199" s="308">
        <v>75</v>
      </c>
      <c r="V199" s="229">
        <v>208</v>
      </c>
    </row>
    <row r="200" spans="1:22" ht="15.75" customHeight="1">
      <c r="A200" s="193">
        <v>48</v>
      </c>
      <c r="B200" s="186">
        <v>1</v>
      </c>
      <c r="C200" s="132" t="s">
        <v>15</v>
      </c>
      <c r="D200" s="132" t="s">
        <v>17</v>
      </c>
      <c r="E200" s="132">
        <v>100</v>
      </c>
      <c r="F200" s="132">
        <v>0</v>
      </c>
      <c r="G200" s="23"/>
      <c r="L200" s="53" t="s">
        <v>16</v>
      </c>
      <c r="P200" s="53" t="s">
        <v>16</v>
      </c>
      <c r="T200" s="298">
        <v>100</v>
      </c>
      <c r="V200" s="229">
        <v>209</v>
      </c>
    </row>
    <row r="201" spans="1:22" ht="15.75" customHeight="1">
      <c r="A201" s="193">
        <v>48</v>
      </c>
      <c r="B201" s="186">
        <v>2</v>
      </c>
      <c r="C201" s="132" t="s">
        <v>15</v>
      </c>
      <c r="D201" s="132" t="s">
        <v>17</v>
      </c>
      <c r="E201" s="132">
        <v>84</v>
      </c>
      <c r="F201" s="132">
        <v>16</v>
      </c>
      <c r="G201" s="23"/>
      <c r="L201" s="53" t="s">
        <v>16</v>
      </c>
      <c r="P201" s="53" t="s">
        <v>16</v>
      </c>
      <c r="T201" s="298">
        <v>100</v>
      </c>
      <c r="V201" s="229">
        <v>210</v>
      </c>
    </row>
    <row r="202" spans="1:22" ht="15.75" customHeight="1">
      <c r="A202" s="193">
        <v>48</v>
      </c>
      <c r="B202" s="186">
        <v>3</v>
      </c>
      <c r="C202" s="132" t="s">
        <v>15</v>
      </c>
      <c r="D202" s="132" t="s">
        <v>17</v>
      </c>
      <c r="E202" s="132">
        <v>78</v>
      </c>
      <c r="F202" s="132">
        <v>22</v>
      </c>
      <c r="G202" s="23"/>
      <c r="L202" s="53" t="s">
        <v>16</v>
      </c>
      <c r="P202" s="53" t="s">
        <v>16</v>
      </c>
      <c r="T202" s="298">
        <v>100</v>
      </c>
      <c r="V202" s="229">
        <v>211</v>
      </c>
    </row>
    <row r="203" spans="1:22" ht="15.75" customHeight="1">
      <c r="A203" s="193">
        <v>48</v>
      </c>
      <c r="B203" s="186">
        <v>4</v>
      </c>
      <c r="C203" s="132" t="s">
        <v>15</v>
      </c>
      <c r="D203" s="132" t="s">
        <v>17</v>
      </c>
      <c r="E203" s="132">
        <v>100</v>
      </c>
      <c r="F203" s="132">
        <v>0</v>
      </c>
      <c r="G203" s="23"/>
      <c r="L203" s="53" t="s">
        <v>16</v>
      </c>
      <c r="P203" s="53" t="s">
        <v>16</v>
      </c>
      <c r="T203" s="298">
        <v>100</v>
      </c>
      <c r="V203" s="229">
        <v>212</v>
      </c>
    </row>
    <row r="204" spans="1:22" ht="15.75" customHeight="1">
      <c r="A204" s="193">
        <v>48</v>
      </c>
      <c r="B204" s="186">
        <v>5</v>
      </c>
      <c r="C204" s="132" t="s">
        <v>15</v>
      </c>
      <c r="D204" s="132" t="s">
        <v>17</v>
      </c>
      <c r="E204" s="132">
        <v>86</v>
      </c>
      <c r="F204" s="132">
        <v>14</v>
      </c>
      <c r="G204" s="23"/>
      <c r="L204" s="53" t="s">
        <v>16</v>
      </c>
      <c r="P204" s="53" t="s">
        <v>16</v>
      </c>
      <c r="T204" s="298">
        <v>100</v>
      </c>
      <c r="V204" s="229">
        <v>213</v>
      </c>
    </row>
    <row r="205" spans="1:22" ht="15.75" customHeight="1" thickBot="1">
      <c r="A205" s="191">
        <v>48</v>
      </c>
      <c r="B205" s="188">
        <v>6</v>
      </c>
      <c r="C205" s="189" t="s">
        <v>15</v>
      </c>
      <c r="D205" s="189" t="s">
        <v>17</v>
      </c>
      <c r="E205" s="189">
        <v>75</v>
      </c>
      <c r="F205" s="189">
        <v>25</v>
      </c>
      <c r="G205" s="39"/>
      <c r="H205" s="195"/>
      <c r="I205" s="195"/>
      <c r="J205" s="195"/>
      <c r="K205" s="195"/>
      <c r="L205" s="192" t="s">
        <v>16</v>
      </c>
      <c r="M205" s="352"/>
      <c r="N205" s="195"/>
      <c r="O205" s="195"/>
      <c r="P205" s="192" t="s">
        <v>16</v>
      </c>
      <c r="Q205" s="352"/>
      <c r="R205" s="195"/>
      <c r="S205" s="195"/>
      <c r="T205" s="307">
        <v>100</v>
      </c>
      <c r="V205" s="229">
        <v>214</v>
      </c>
    </row>
    <row r="206" spans="1:22" ht="15.75" customHeight="1">
      <c r="A206" s="193">
        <v>49</v>
      </c>
      <c r="B206" s="186">
        <v>1</v>
      </c>
      <c r="C206" s="132" t="s">
        <v>15</v>
      </c>
      <c r="D206" s="132" t="s">
        <v>17</v>
      </c>
      <c r="E206" s="132">
        <v>94</v>
      </c>
      <c r="F206" s="132">
        <v>6</v>
      </c>
      <c r="G206" s="22">
        <v>680000</v>
      </c>
      <c r="L206" s="132" t="s">
        <v>16</v>
      </c>
      <c r="P206" s="132" t="s">
        <v>16</v>
      </c>
      <c r="T206" s="304">
        <v>100</v>
      </c>
      <c r="V206" s="229">
        <v>215</v>
      </c>
    </row>
    <row r="207" spans="1:22" ht="15.75" customHeight="1">
      <c r="A207" s="193">
        <v>49</v>
      </c>
      <c r="B207" s="186">
        <v>2</v>
      </c>
      <c r="C207" s="132" t="s">
        <v>15</v>
      </c>
      <c r="D207" s="132" t="s">
        <v>17</v>
      </c>
      <c r="E207" s="132">
        <v>94</v>
      </c>
      <c r="F207" s="132">
        <v>6</v>
      </c>
      <c r="G207" s="22">
        <v>680000</v>
      </c>
      <c r="L207" s="132" t="s">
        <v>18</v>
      </c>
      <c r="M207" s="334" t="s">
        <v>689</v>
      </c>
      <c r="N207" s="132" t="s">
        <v>34</v>
      </c>
      <c r="O207" s="132">
        <v>20</v>
      </c>
      <c r="P207" s="132" t="s">
        <v>16</v>
      </c>
      <c r="T207" s="304">
        <v>80</v>
      </c>
      <c r="V207" s="229">
        <v>216</v>
      </c>
    </row>
    <row r="208" spans="1:22" ht="15.75" customHeight="1">
      <c r="A208" s="193">
        <v>49</v>
      </c>
      <c r="B208" s="186">
        <v>3</v>
      </c>
      <c r="C208" s="132" t="s">
        <v>15</v>
      </c>
      <c r="D208" s="132" t="s">
        <v>17</v>
      </c>
      <c r="E208" s="132">
        <v>94</v>
      </c>
      <c r="F208" s="132">
        <v>6</v>
      </c>
      <c r="G208" s="22">
        <v>680000</v>
      </c>
      <c r="L208" s="132" t="s">
        <v>18</v>
      </c>
      <c r="M208" s="334" t="s">
        <v>689</v>
      </c>
      <c r="N208" s="132" t="s">
        <v>31</v>
      </c>
      <c r="O208" s="132">
        <v>20</v>
      </c>
      <c r="P208" s="132" t="s">
        <v>16</v>
      </c>
      <c r="T208" s="304">
        <v>80</v>
      </c>
      <c r="V208" s="229">
        <v>217</v>
      </c>
    </row>
    <row r="209" spans="1:22" ht="15.75" customHeight="1">
      <c r="A209" s="193">
        <v>49</v>
      </c>
      <c r="B209" s="186">
        <v>4</v>
      </c>
      <c r="C209" s="132" t="s">
        <v>15</v>
      </c>
      <c r="D209" s="132" t="s">
        <v>17</v>
      </c>
      <c r="E209" s="132">
        <v>94</v>
      </c>
      <c r="F209" s="132">
        <v>6</v>
      </c>
      <c r="G209" s="22">
        <v>680000</v>
      </c>
      <c r="L209" s="132" t="s">
        <v>18</v>
      </c>
      <c r="M209" s="334" t="s">
        <v>689</v>
      </c>
      <c r="N209" s="132" t="s">
        <v>49</v>
      </c>
      <c r="O209" s="132">
        <v>20</v>
      </c>
      <c r="P209" s="132" t="s">
        <v>16</v>
      </c>
      <c r="T209" s="304">
        <v>80</v>
      </c>
      <c r="V209" s="229">
        <v>218</v>
      </c>
    </row>
    <row r="210" spans="1:22" ht="15.75" customHeight="1" thickBot="1">
      <c r="A210" s="193">
        <v>49</v>
      </c>
      <c r="B210" s="186">
        <v>5</v>
      </c>
      <c r="C210" s="132" t="s">
        <v>15</v>
      </c>
      <c r="D210" s="132" t="s">
        <v>17</v>
      </c>
      <c r="E210" s="132">
        <v>94</v>
      </c>
      <c r="F210" s="132">
        <v>6</v>
      </c>
      <c r="G210" s="22">
        <v>680000</v>
      </c>
      <c r="L210" s="132" t="s">
        <v>18</v>
      </c>
      <c r="M210" s="334" t="s">
        <v>689</v>
      </c>
      <c r="N210" s="132" t="s">
        <v>32</v>
      </c>
      <c r="O210" s="132">
        <v>20</v>
      </c>
      <c r="P210" s="132" t="s">
        <v>16</v>
      </c>
      <c r="T210" s="311">
        <v>80</v>
      </c>
      <c r="V210" s="229">
        <v>219</v>
      </c>
    </row>
    <row r="211" spans="1:22" ht="15.75" customHeight="1">
      <c r="A211" s="173">
        <v>50</v>
      </c>
      <c r="B211" s="184">
        <v>1</v>
      </c>
      <c r="C211" s="174" t="s">
        <v>15</v>
      </c>
      <c r="D211" s="174" t="s">
        <v>17</v>
      </c>
      <c r="E211" s="174">
        <v>93</v>
      </c>
      <c r="F211" s="174">
        <v>7</v>
      </c>
      <c r="G211" s="42">
        <v>4400000</v>
      </c>
      <c r="H211" s="201"/>
      <c r="I211" s="201"/>
      <c r="J211" s="201"/>
      <c r="K211" s="174">
        <v>1.6</v>
      </c>
      <c r="L211" s="174" t="s">
        <v>16</v>
      </c>
      <c r="M211" s="350"/>
      <c r="N211" s="201"/>
      <c r="O211" s="201"/>
      <c r="P211" s="174" t="s">
        <v>16</v>
      </c>
      <c r="Q211" s="350"/>
      <c r="R211" s="201"/>
      <c r="S211" s="201"/>
      <c r="T211" s="304">
        <v>100</v>
      </c>
      <c r="V211" s="229">
        <v>220</v>
      </c>
    </row>
    <row r="212" spans="1:22" ht="15.75" customHeight="1">
      <c r="A212" s="185">
        <v>50</v>
      </c>
      <c r="B212" s="186">
        <v>2</v>
      </c>
      <c r="C212" s="132" t="s">
        <v>15</v>
      </c>
      <c r="D212" s="132" t="s">
        <v>17</v>
      </c>
      <c r="E212" s="132">
        <v>93</v>
      </c>
      <c r="F212" s="132">
        <v>7</v>
      </c>
      <c r="G212" s="22">
        <v>4400000</v>
      </c>
      <c r="K212" s="132">
        <v>1.6</v>
      </c>
      <c r="L212" s="132" t="s">
        <v>16</v>
      </c>
      <c r="P212" s="132" t="s">
        <v>16</v>
      </c>
      <c r="T212" s="304">
        <v>100</v>
      </c>
      <c r="V212" s="229">
        <v>221</v>
      </c>
    </row>
    <row r="213" spans="1:22" ht="15.75" customHeight="1">
      <c r="A213" s="185">
        <v>50</v>
      </c>
      <c r="B213" s="186">
        <v>3</v>
      </c>
      <c r="C213" s="132" t="s">
        <v>15</v>
      </c>
      <c r="D213" s="132" t="s">
        <v>17</v>
      </c>
      <c r="E213" s="132">
        <v>93</v>
      </c>
      <c r="F213" s="132">
        <v>7</v>
      </c>
      <c r="G213" s="22">
        <v>4400000</v>
      </c>
      <c r="K213" s="132">
        <v>1.6</v>
      </c>
      <c r="L213" s="132" t="s">
        <v>16</v>
      </c>
      <c r="P213" s="132" t="s">
        <v>16</v>
      </c>
      <c r="T213" s="304">
        <v>100</v>
      </c>
      <c r="V213" s="229">
        <v>222</v>
      </c>
    </row>
    <row r="214" spans="1:22" ht="15.75" customHeight="1">
      <c r="A214" s="185">
        <v>50</v>
      </c>
      <c r="B214" s="186">
        <v>4</v>
      </c>
      <c r="C214" s="132" t="s">
        <v>15</v>
      </c>
      <c r="D214" s="132" t="s">
        <v>17</v>
      </c>
      <c r="E214" s="132">
        <v>93</v>
      </c>
      <c r="F214" s="132">
        <v>7</v>
      </c>
      <c r="G214" s="22">
        <v>4400000</v>
      </c>
      <c r="K214" s="132">
        <v>1.6</v>
      </c>
      <c r="L214" s="132" t="s">
        <v>16</v>
      </c>
      <c r="P214" s="132" t="s">
        <v>16</v>
      </c>
      <c r="T214" s="298">
        <v>100</v>
      </c>
      <c r="V214" s="229">
        <v>223</v>
      </c>
    </row>
    <row r="215" spans="1:22" ht="15.75" customHeight="1" thickBot="1">
      <c r="A215" s="187">
        <v>50</v>
      </c>
      <c r="B215" s="188">
        <v>5</v>
      </c>
      <c r="C215" s="189" t="s">
        <v>15</v>
      </c>
      <c r="D215" s="189" t="s">
        <v>17</v>
      </c>
      <c r="E215" s="189">
        <v>93</v>
      </c>
      <c r="F215" s="189">
        <v>7</v>
      </c>
      <c r="G215" s="37">
        <v>4400000</v>
      </c>
      <c r="H215" s="195"/>
      <c r="I215" s="195"/>
      <c r="J215" s="195"/>
      <c r="K215" s="189">
        <v>1.6</v>
      </c>
      <c r="L215" s="189" t="s">
        <v>16</v>
      </c>
      <c r="M215" s="352"/>
      <c r="N215" s="195"/>
      <c r="O215" s="195"/>
      <c r="P215" s="189" t="s">
        <v>16</v>
      </c>
      <c r="Q215" s="352"/>
      <c r="R215" s="195"/>
      <c r="S215" s="195"/>
      <c r="T215" s="307">
        <v>100</v>
      </c>
      <c r="V215" s="229">
        <v>224</v>
      </c>
    </row>
    <row r="216" spans="1:22" ht="15.75" customHeight="1">
      <c r="A216" s="185">
        <v>51</v>
      </c>
      <c r="B216" s="186">
        <v>1</v>
      </c>
      <c r="C216" s="132" t="s">
        <v>15</v>
      </c>
      <c r="D216" s="132" t="s">
        <v>17</v>
      </c>
      <c r="E216" s="132">
        <v>100</v>
      </c>
      <c r="F216" s="132">
        <v>0</v>
      </c>
      <c r="G216" s="22">
        <v>760000</v>
      </c>
      <c r="H216" s="132">
        <v>250000</v>
      </c>
      <c r="I216" s="35"/>
      <c r="J216" s="35"/>
      <c r="K216" s="35"/>
      <c r="L216" s="132" t="s">
        <v>16</v>
      </c>
      <c r="N216" s="35"/>
      <c r="O216" s="35"/>
      <c r="P216" s="132" t="s">
        <v>16</v>
      </c>
      <c r="R216" s="35"/>
      <c r="S216" s="35"/>
      <c r="T216" s="298">
        <v>100</v>
      </c>
      <c r="V216" s="229">
        <v>225</v>
      </c>
    </row>
    <row r="217" spans="1:22" ht="15.75" customHeight="1">
      <c r="A217" s="185">
        <v>51</v>
      </c>
      <c r="B217" s="186">
        <v>2</v>
      </c>
      <c r="C217" s="132" t="s">
        <v>15</v>
      </c>
      <c r="D217" s="132" t="s">
        <v>17</v>
      </c>
      <c r="E217" s="132">
        <v>100</v>
      </c>
      <c r="F217" s="132">
        <v>0</v>
      </c>
      <c r="G217" s="22">
        <v>760000</v>
      </c>
      <c r="H217" s="132">
        <v>250000</v>
      </c>
      <c r="I217" s="35"/>
      <c r="J217" s="35"/>
      <c r="K217" s="35"/>
      <c r="L217" s="132" t="s">
        <v>18</v>
      </c>
      <c r="M217" s="334" t="s">
        <v>688</v>
      </c>
      <c r="N217" s="132" t="s">
        <v>26</v>
      </c>
      <c r="O217" s="35">
        <v>1</v>
      </c>
      <c r="P217" s="132" t="s">
        <v>16</v>
      </c>
      <c r="R217" s="35"/>
      <c r="S217" s="35"/>
      <c r="T217" s="304">
        <v>99</v>
      </c>
      <c r="V217" s="229">
        <v>226</v>
      </c>
    </row>
    <row r="218" spans="1:22" ht="15.75" customHeight="1">
      <c r="A218" s="185">
        <v>51</v>
      </c>
      <c r="B218" s="186">
        <v>3</v>
      </c>
      <c r="C218" s="132" t="s">
        <v>15</v>
      </c>
      <c r="D218" s="132" t="s">
        <v>17</v>
      </c>
      <c r="E218" s="132">
        <v>100</v>
      </c>
      <c r="F218" s="132">
        <v>0</v>
      </c>
      <c r="G218" s="22">
        <v>760000</v>
      </c>
      <c r="H218" s="132">
        <v>250000</v>
      </c>
      <c r="I218" s="35"/>
      <c r="J218" s="35"/>
      <c r="K218" s="35"/>
      <c r="L218" s="132" t="s">
        <v>18</v>
      </c>
      <c r="M218" s="334" t="s">
        <v>688</v>
      </c>
      <c r="N218" s="132" t="s">
        <v>26</v>
      </c>
      <c r="O218" s="35">
        <v>2</v>
      </c>
      <c r="P218" s="132" t="s">
        <v>16</v>
      </c>
      <c r="R218" s="35"/>
      <c r="S218" s="35"/>
      <c r="T218" s="304">
        <v>98</v>
      </c>
      <c r="V218" s="229">
        <v>227</v>
      </c>
    </row>
    <row r="219" spans="1:22" ht="15.75" customHeight="1">
      <c r="A219" s="185">
        <v>51</v>
      </c>
      <c r="B219" s="186">
        <v>4</v>
      </c>
      <c r="C219" s="132" t="s">
        <v>15</v>
      </c>
      <c r="D219" s="132" t="s">
        <v>17</v>
      </c>
      <c r="E219" s="132">
        <v>100</v>
      </c>
      <c r="F219" s="132">
        <v>0</v>
      </c>
      <c r="G219" s="22">
        <v>760000</v>
      </c>
      <c r="H219" s="132">
        <v>250000</v>
      </c>
      <c r="I219" s="35"/>
      <c r="J219" s="35"/>
      <c r="K219" s="35"/>
      <c r="L219" s="132" t="s">
        <v>18</v>
      </c>
      <c r="M219" s="334" t="s">
        <v>688</v>
      </c>
      <c r="N219" s="132" t="s">
        <v>26</v>
      </c>
      <c r="O219" s="35">
        <v>5</v>
      </c>
      <c r="P219" s="132" t="s">
        <v>16</v>
      </c>
      <c r="R219" s="35"/>
      <c r="S219" s="35"/>
      <c r="T219" s="304">
        <v>95</v>
      </c>
      <c r="V219" s="229">
        <v>228</v>
      </c>
    </row>
    <row r="220" spans="1:22" ht="15.75" customHeight="1">
      <c r="A220" s="185">
        <v>51</v>
      </c>
      <c r="B220" s="186">
        <v>5</v>
      </c>
      <c r="C220" s="132" t="s">
        <v>15</v>
      </c>
      <c r="D220" s="132" t="s">
        <v>17</v>
      </c>
      <c r="E220" s="132">
        <v>100</v>
      </c>
      <c r="F220" s="132">
        <v>0</v>
      </c>
      <c r="G220" s="22">
        <v>760000</v>
      </c>
      <c r="H220" s="132">
        <v>250000</v>
      </c>
      <c r="I220" s="35"/>
      <c r="J220" s="35"/>
      <c r="K220" s="35"/>
      <c r="L220" s="132" t="s">
        <v>18</v>
      </c>
      <c r="M220" s="334" t="s">
        <v>688</v>
      </c>
      <c r="N220" s="132" t="s">
        <v>26</v>
      </c>
      <c r="O220" s="35">
        <v>10</v>
      </c>
      <c r="P220" s="132" t="s">
        <v>16</v>
      </c>
      <c r="R220" s="35"/>
      <c r="S220" s="35"/>
      <c r="T220" s="304">
        <v>90</v>
      </c>
      <c r="V220" s="229">
        <v>229</v>
      </c>
    </row>
    <row r="221" spans="1:22" ht="15.75" customHeight="1" thickBot="1">
      <c r="A221" s="187">
        <v>51</v>
      </c>
      <c r="B221" s="188">
        <v>6</v>
      </c>
      <c r="C221" s="189" t="s">
        <v>15</v>
      </c>
      <c r="D221" s="189" t="s">
        <v>17</v>
      </c>
      <c r="E221" s="189">
        <v>100</v>
      </c>
      <c r="F221" s="189">
        <v>0</v>
      </c>
      <c r="G221" s="37">
        <v>760000</v>
      </c>
      <c r="H221" s="189">
        <v>250000</v>
      </c>
      <c r="I221" s="190"/>
      <c r="J221" s="190"/>
      <c r="K221" s="190"/>
      <c r="L221" s="189" t="s">
        <v>18</v>
      </c>
      <c r="M221" s="353" t="s">
        <v>688</v>
      </c>
      <c r="N221" s="189" t="s">
        <v>26</v>
      </c>
      <c r="O221" s="190">
        <v>20</v>
      </c>
      <c r="P221" s="319" t="s">
        <v>16</v>
      </c>
      <c r="Q221" s="352"/>
      <c r="R221" s="190"/>
      <c r="S221" s="190"/>
      <c r="T221" s="308">
        <v>80</v>
      </c>
      <c r="V221" s="229">
        <v>230</v>
      </c>
    </row>
    <row r="222" spans="1:22" ht="15.75" customHeight="1">
      <c r="A222" s="173">
        <v>52</v>
      </c>
      <c r="B222" s="184">
        <v>1</v>
      </c>
      <c r="C222" s="174" t="s">
        <v>15</v>
      </c>
      <c r="D222" s="174" t="s">
        <v>17</v>
      </c>
      <c r="E222" s="176">
        <f t="shared" ref="E222:E225" si="6">100-F222</f>
        <v>89.8</v>
      </c>
      <c r="F222" s="174">
        <v>10.199999999999999</v>
      </c>
      <c r="G222" s="22">
        <v>670000</v>
      </c>
      <c r="H222" s="176"/>
      <c r="I222" s="176"/>
      <c r="J222" s="176"/>
      <c r="K222" s="174">
        <v>4.38</v>
      </c>
      <c r="L222" s="132" t="s">
        <v>16</v>
      </c>
      <c r="N222" s="176"/>
      <c r="O222" s="176"/>
      <c r="P222" s="132" t="s">
        <v>16</v>
      </c>
      <c r="Q222" s="350"/>
      <c r="R222" s="176"/>
      <c r="S222" s="176"/>
      <c r="T222" s="304">
        <v>100</v>
      </c>
      <c r="V222" s="229">
        <v>231</v>
      </c>
    </row>
    <row r="223" spans="1:22" ht="15.75" customHeight="1">
      <c r="A223" s="185">
        <v>52</v>
      </c>
      <c r="B223" s="186">
        <v>2</v>
      </c>
      <c r="C223" s="132" t="s">
        <v>15</v>
      </c>
      <c r="D223" s="132" t="s">
        <v>17</v>
      </c>
      <c r="E223" s="35">
        <f t="shared" si="6"/>
        <v>81.900000000000006</v>
      </c>
      <c r="F223" s="132">
        <v>18.100000000000001</v>
      </c>
      <c r="G223" s="22">
        <v>560000</v>
      </c>
      <c r="H223" s="35"/>
      <c r="I223" s="35"/>
      <c r="J223" s="35"/>
      <c r="K223" s="132">
        <v>3.95</v>
      </c>
      <c r="L223" s="132" t="s">
        <v>16</v>
      </c>
      <c r="N223" s="35"/>
      <c r="O223" s="35"/>
      <c r="P223" s="132" t="s">
        <v>16</v>
      </c>
      <c r="R223" s="35"/>
      <c r="S223" s="35"/>
      <c r="T223" s="304">
        <v>100</v>
      </c>
      <c r="V223" s="229">
        <v>232</v>
      </c>
    </row>
    <row r="224" spans="1:22" ht="15.75" customHeight="1">
      <c r="A224" s="185">
        <v>52</v>
      </c>
      <c r="B224" s="186">
        <v>3</v>
      </c>
      <c r="C224" s="132" t="s">
        <v>15</v>
      </c>
      <c r="D224" s="132" t="s">
        <v>17</v>
      </c>
      <c r="E224" s="35">
        <f t="shared" si="6"/>
        <v>92.5</v>
      </c>
      <c r="F224" s="132">
        <v>7.5</v>
      </c>
      <c r="G224" s="22">
        <v>690000</v>
      </c>
      <c r="H224" s="35"/>
      <c r="I224" s="35"/>
      <c r="J224" s="35"/>
      <c r="K224" s="132">
        <v>4.3600000000000003</v>
      </c>
      <c r="L224" s="132" t="s">
        <v>16</v>
      </c>
      <c r="N224" s="35"/>
      <c r="O224" s="35"/>
      <c r="P224" s="132" t="s">
        <v>16</v>
      </c>
      <c r="R224" s="35"/>
      <c r="S224" s="35"/>
      <c r="T224" s="304">
        <v>100</v>
      </c>
      <c r="V224" s="229">
        <v>233</v>
      </c>
    </row>
    <row r="225" spans="1:22" ht="15.75" customHeight="1" thickBot="1">
      <c r="A225" s="187">
        <v>52</v>
      </c>
      <c r="B225" s="188">
        <v>4</v>
      </c>
      <c r="C225" s="189" t="s">
        <v>15</v>
      </c>
      <c r="D225" s="189" t="s">
        <v>17</v>
      </c>
      <c r="E225" s="190">
        <f t="shared" si="6"/>
        <v>92.7</v>
      </c>
      <c r="F225" s="189">
        <v>7.3</v>
      </c>
      <c r="G225" s="37">
        <v>710000</v>
      </c>
      <c r="H225" s="190"/>
      <c r="I225" s="190"/>
      <c r="J225" s="190"/>
      <c r="K225" s="189">
        <v>3.7</v>
      </c>
      <c r="L225" s="189" t="s">
        <v>16</v>
      </c>
      <c r="M225" s="352"/>
      <c r="N225" s="190"/>
      <c r="O225" s="190"/>
      <c r="P225" s="189" t="s">
        <v>16</v>
      </c>
      <c r="Q225" s="352"/>
      <c r="R225" s="190"/>
      <c r="S225" s="190"/>
      <c r="T225" s="308">
        <v>100</v>
      </c>
      <c r="V225" s="229">
        <v>234</v>
      </c>
    </row>
    <row r="226" spans="1:22" ht="15.75" customHeight="1">
      <c r="A226" s="193">
        <v>53</v>
      </c>
      <c r="B226" s="186">
        <v>1</v>
      </c>
      <c r="C226" s="132" t="s">
        <v>15</v>
      </c>
      <c r="D226" s="132" t="s">
        <v>17</v>
      </c>
      <c r="E226" s="132">
        <v>48</v>
      </c>
      <c r="F226" s="132">
        <v>52</v>
      </c>
      <c r="G226" s="23"/>
      <c r="K226" s="202"/>
      <c r="L226" s="174" t="s">
        <v>16</v>
      </c>
      <c r="P226" s="174" t="s">
        <v>16</v>
      </c>
      <c r="T226" s="304">
        <v>100</v>
      </c>
      <c r="V226" s="229">
        <v>235</v>
      </c>
    </row>
    <row r="227" spans="1:22" ht="15.75" customHeight="1">
      <c r="A227" s="193">
        <v>53</v>
      </c>
      <c r="B227" s="186">
        <v>2</v>
      </c>
      <c r="C227" s="132" t="s">
        <v>15</v>
      </c>
      <c r="D227" s="132" t="s">
        <v>17</v>
      </c>
      <c r="E227" s="132">
        <v>58</v>
      </c>
      <c r="F227" s="132">
        <v>42</v>
      </c>
      <c r="G227" s="23"/>
      <c r="L227" s="132" t="s">
        <v>16</v>
      </c>
      <c r="P227" s="132" t="s">
        <v>16</v>
      </c>
      <c r="T227" s="304">
        <v>100</v>
      </c>
      <c r="V227" s="229">
        <v>236</v>
      </c>
    </row>
    <row r="228" spans="1:22" ht="15.75" customHeight="1">
      <c r="A228" s="193">
        <v>53</v>
      </c>
      <c r="B228" s="186">
        <v>3</v>
      </c>
      <c r="C228" s="132" t="s">
        <v>15</v>
      </c>
      <c r="D228" s="132" t="s">
        <v>17</v>
      </c>
      <c r="E228" s="132">
        <v>42</v>
      </c>
      <c r="F228" s="132">
        <v>58</v>
      </c>
      <c r="G228" s="23"/>
      <c r="L228" s="132" t="s">
        <v>16</v>
      </c>
      <c r="P228" s="132" t="s">
        <v>16</v>
      </c>
      <c r="T228" s="304">
        <v>100</v>
      </c>
      <c r="V228" s="229">
        <v>237</v>
      </c>
    </row>
    <row r="229" spans="1:22" ht="15.75" customHeight="1">
      <c r="A229" s="193">
        <v>53</v>
      </c>
      <c r="B229" s="186">
        <v>4</v>
      </c>
      <c r="C229" s="132" t="s">
        <v>15</v>
      </c>
      <c r="D229" s="132" t="s">
        <v>17</v>
      </c>
      <c r="E229" s="132">
        <v>51</v>
      </c>
      <c r="F229" s="132">
        <v>49</v>
      </c>
      <c r="G229" s="23"/>
      <c r="L229" s="132" t="s">
        <v>16</v>
      </c>
      <c r="P229" s="132" t="s">
        <v>16</v>
      </c>
      <c r="T229" s="304">
        <v>100</v>
      </c>
      <c r="V229" s="229">
        <v>238</v>
      </c>
    </row>
    <row r="230" spans="1:22" ht="15.75" customHeight="1" thickBot="1">
      <c r="A230" s="191">
        <v>53</v>
      </c>
      <c r="B230" s="188">
        <v>5</v>
      </c>
      <c r="C230" s="189" t="s">
        <v>15</v>
      </c>
      <c r="D230" s="189" t="s">
        <v>17</v>
      </c>
      <c r="E230" s="189">
        <v>100</v>
      </c>
      <c r="F230" s="189">
        <v>0</v>
      </c>
      <c r="G230" s="39"/>
      <c r="H230" s="195"/>
      <c r="I230" s="195"/>
      <c r="J230" s="195"/>
      <c r="K230" s="195"/>
      <c r="L230" s="189" t="s">
        <v>16</v>
      </c>
      <c r="M230" s="352"/>
      <c r="N230" s="195"/>
      <c r="O230" s="195"/>
      <c r="P230" s="189" t="s">
        <v>16</v>
      </c>
      <c r="Q230" s="352"/>
      <c r="R230" s="195"/>
      <c r="S230" s="195"/>
      <c r="T230" s="308">
        <v>100</v>
      </c>
      <c r="V230" s="229">
        <v>239</v>
      </c>
    </row>
    <row r="231" spans="1:22" ht="15.75" customHeight="1">
      <c r="A231" s="193">
        <v>54</v>
      </c>
      <c r="B231" s="186">
        <v>1</v>
      </c>
      <c r="C231" s="132" t="s">
        <v>15</v>
      </c>
      <c r="D231" s="132" t="s">
        <v>17</v>
      </c>
      <c r="E231" s="132">
        <v>100</v>
      </c>
      <c r="F231" s="132">
        <v>0</v>
      </c>
      <c r="G231" s="22">
        <v>426000</v>
      </c>
      <c r="H231" s="35"/>
      <c r="I231" s="132">
        <v>1.25</v>
      </c>
      <c r="J231" s="132" t="s">
        <v>25</v>
      </c>
      <c r="L231" s="132" t="s">
        <v>16</v>
      </c>
      <c r="P231" s="132" t="s">
        <v>16</v>
      </c>
      <c r="T231" s="304">
        <v>100</v>
      </c>
      <c r="V231" s="229">
        <v>240</v>
      </c>
    </row>
    <row r="232" spans="1:22" ht="15.75" customHeight="1">
      <c r="A232" s="193">
        <v>54</v>
      </c>
      <c r="B232" s="186">
        <v>2</v>
      </c>
      <c r="C232" s="132" t="s">
        <v>15</v>
      </c>
      <c r="D232" s="132" t="s">
        <v>17</v>
      </c>
      <c r="E232" s="132">
        <v>100</v>
      </c>
      <c r="F232" s="132">
        <v>0</v>
      </c>
      <c r="G232" s="22">
        <v>426000</v>
      </c>
      <c r="H232" s="35"/>
      <c r="I232" s="132">
        <v>1.25</v>
      </c>
      <c r="J232" s="132" t="s">
        <v>25</v>
      </c>
      <c r="L232" s="132" t="s">
        <v>18</v>
      </c>
      <c r="M232" s="334" t="s">
        <v>689</v>
      </c>
      <c r="N232" s="132" t="s">
        <v>50</v>
      </c>
      <c r="O232" s="132">
        <v>5</v>
      </c>
      <c r="P232" s="132" t="s">
        <v>16</v>
      </c>
      <c r="T232" s="304">
        <v>95</v>
      </c>
      <c r="V232" s="229">
        <v>241</v>
      </c>
    </row>
    <row r="233" spans="1:22" ht="15.75" customHeight="1">
      <c r="A233" s="193">
        <v>54</v>
      </c>
      <c r="B233" s="186">
        <v>3</v>
      </c>
      <c r="C233" s="132" t="s">
        <v>15</v>
      </c>
      <c r="D233" s="132" t="s">
        <v>17</v>
      </c>
      <c r="E233" s="132">
        <v>100</v>
      </c>
      <c r="F233" s="132">
        <v>0</v>
      </c>
      <c r="G233" s="22">
        <v>426000</v>
      </c>
      <c r="H233" s="35"/>
      <c r="I233" s="132">
        <v>1.25</v>
      </c>
      <c r="J233" s="132" t="s">
        <v>25</v>
      </c>
      <c r="L233" s="132" t="s">
        <v>18</v>
      </c>
      <c r="M233" s="334" t="s">
        <v>689</v>
      </c>
      <c r="N233" s="132" t="s">
        <v>50</v>
      </c>
      <c r="O233" s="132">
        <v>10</v>
      </c>
      <c r="P233" s="132" t="s">
        <v>16</v>
      </c>
      <c r="T233" s="304">
        <v>90</v>
      </c>
      <c r="V233" s="229">
        <v>242</v>
      </c>
    </row>
    <row r="234" spans="1:22" ht="15.75" customHeight="1">
      <c r="A234" s="193">
        <v>54</v>
      </c>
      <c r="B234" s="186">
        <v>4</v>
      </c>
      <c r="C234" s="132" t="s">
        <v>15</v>
      </c>
      <c r="D234" s="132" t="s">
        <v>17</v>
      </c>
      <c r="E234" s="132">
        <v>100</v>
      </c>
      <c r="F234" s="132">
        <v>0</v>
      </c>
      <c r="G234" s="22">
        <v>426000</v>
      </c>
      <c r="H234" s="35"/>
      <c r="I234" s="132">
        <v>1.25</v>
      </c>
      <c r="J234" s="132" t="s">
        <v>25</v>
      </c>
      <c r="L234" s="132" t="s">
        <v>18</v>
      </c>
      <c r="M234" s="334" t="s">
        <v>689</v>
      </c>
      <c r="N234" s="132" t="s">
        <v>31</v>
      </c>
      <c r="O234" s="132">
        <v>5</v>
      </c>
      <c r="P234" s="132" t="s">
        <v>16</v>
      </c>
      <c r="T234" s="304">
        <v>95</v>
      </c>
      <c r="V234" s="229">
        <v>243</v>
      </c>
    </row>
    <row r="235" spans="1:22" ht="15.75" customHeight="1">
      <c r="A235" s="193">
        <v>54</v>
      </c>
      <c r="B235" s="186">
        <v>5</v>
      </c>
      <c r="C235" s="132" t="s">
        <v>15</v>
      </c>
      <c r="D235" s="132" t="s">
        <v>17</v>
      </c>
      <c r="E235" s="132">
        <v>100</v>
      </c>
      <c r="F235" s="132">
        <v>0</v>
      </c>
      <c r="G235" s="22">
        <v>426000</v>
      </c>
      <c r="H235" s="35"/>
      <c r="I235" s="132">
        <v>1.25</v>
      </c>
      <c r="J235" s="132" t="s">
        <v>25</v>
      </c>
      <c r="L235" s="132" t="s">
        <v>18</v>
      </c>
      <c r="M235" s="334" t="s">
        <v>689</v>
      </c>
      <c r="N235" s="132" t="s">
        <v>31</v>
      </c>
      <c r="O235" s="132">
        <v>10</v>
      </c>
      <c r="P235" s="132" t="s">
        <v>16</v>
      </c>
      <c r="T235" s="304">
        <v>90</v>
      </c>
      <c r="V235" s="229">
        <v>244</v>
      </c>
    </row>
    <row r="236" spans="1:22" ht="15.75" customHeight="1">
      <c r="A236" s="193">
        <v>54</v>
      </c>
      <c r="B236" s="186">
        <v>6</v>
      </c>
      <c r="C236" s="132" t="s">
        <v>15</v>
      </c>
      <c r="D236" s="132" t="s">
        <v>17</v>
      </c>
      <c r="E236" s="132">
        <v>100</v>
      </c>
      <c r="F236" s="132">
        <v>0</v>
      </c>
      <c r="G236" s="22">
        <v>426000</v>
      </c>
      <c r="I236" s="132">
        <v>1.25</v>
      </c>
      <c r="J236" s="132" t="s">
        <v>25</v>
      </c>
      <c r="L236" s="132" t="s">
        <v>18</v>
      </c>
      <c r="M236" s="334" t="s">
        <v>689</v>
      </c>
      <c r="N236" s="132" t="s">
        <v>50</v>
      </c>
      <c r="O236" s="132">
        <v>15</v>
      </c>
      <c r="P236" s="132" t="s">
        <v>16</v>
      </c>
      <c r="T236" s="304">
        <v>85</v>
      </c>
      <c r="V236" s="229">
        <v>245</v>
      </c>
    </row>
    <row r="237" spans="1:22" ht="15.75" customHeight="1">
      <c r="A237" s="193">
        <v>54</v>
      </c>
      <c r="B237" s="186">
        <v>7</v>
      </c>
      <c r="C237" s="132" t="s">
        <v>15</v>
      </c>
      <c r="D237" s="132" t="s">
        <v>17</v>
      </c>
      <c r="E237" s="132">
        <v>100</v>
      </c>
      <c r="F237" s="132">
        <v>0</v>
      </c>
      <c r="G237" s="22">
        <v>426000</v>
      </c>
      <c r="I237" s="132">
        <v>1.25</v>
      </c>
      <c r="J237" s="132" t="s">
        <v>25</v>
      </c>
      <c r="L237" s="132" t="s">
        <v>18</v>
      </c>
      <c r="M237" s="334" t="s">
        <v>689</v>
      </c>
      <c r="N237" s="132" t="s">
        <v>50</v>
      </c>
      <c r="O237" s="132">
        <v>20</v>
      </c>
      <c r="P237" s="132" t="s">
        <v>16</v>
      </c>
      <c r="T237" s="304">
        <v>80</v>
      </c>
      <c r="V237" s="229">
        <v>246</v>
      </c>
    </row>
    <row r="238" spans="1:22" ht="15.75" customHeight="1">
      <c r="A238" s="193">
        <v>54</v>
      </c>
      <c r="B238" s="186">
        <v>8</v>
      </c>
      <c r="C238" s="132" t="s">
        <v>15</v>
      </c>
      <c r="D238" s="132" t="s">
        <v>17</v>
      </c>
      <c r="E238" s="132">
        <v>100</v>
      </c>
      <c r="F238" s="132">
        <v>0</v>
      </c>
      <c r="G238" s="22">
        <v>426000</v>
      </c>
      <c r="I238" s="132">
        <v>1.25</v>
      </c>
      <c r="J238" s="132" t="s">
        <v>25</v>
      </c>
      <c r="L238" s="132" t="s">
        <v>18</v>
      </c>
      <c r="M238" s="334" t="s">
        <v>689</v>
      </c>
      <c r="N238" s="132" t="s">
        <v>31</v>
      </c>
      <c r="O238" s="132">
        <v>15</v>
      </c>
      <c r="P238" s="132" t="s">
        <v>16</v>
      </c>
      <c r="T238" s="304">
        <v>85</v>
      </c>
      <c r="V238" s="229">
        <v>247</v>
      </c>
    </row>
    <row r="239" spans="1:22" ht="15.75" customHeight="1" thickBot="1">
      <c r="A239" s="191">
        <v>54</v>
      </c>
      <c r="B239" s="188">
        <v>9</v>
      </c>
      <c r="C239" s="189" t="s">
        <v>15</v>
      </c>
      <c r="D239" s="189" t="s">
        <v>17</v>
      </c>
      <c r="E239" s="189">
        <v>100</v>
      </c>
      <c r="F239" s="189">
        <v>0</v>
      </c>
      <c r="G239" s="37">
        <v>426000</v>
      </c>
      <c r="H239" s="195"/>
      <c r="I239" s="189">
        <v>1.25</v>
      </c>
      <c r="J239" s="189" t="s">
        <v>25</v>
      </c>
      <c r="K239" s="195"/>
      <c r="L239" s="189" t="s">
        <v>18</v>
      </c>
      <c r="M239" s="353" t="s">
        <v>689</v>
      </c>
      <c r="N239" s="189" t="s">
        <v>31</v>
      </c>
      <c r="O239" s="189">
        <v>20</v>
      </c>
      <c r="P239" s="189" t="s">
        <v>16</v>
      </c>
      <c r="Q239" s="352"/>
      <c r="R239" s="195"/>
      <c r="S239" s="195"/>
      <c r="T239" s="308">
        <v>80</v>
      </c>
      <c r="V239" s="229">
        <v>248</v>
      </c>
    </row>
    <row r="240" spans="1:22" ht="15.75" customHeight="1">
      <c r="A240" s="193">
        <v>55</v>
      </c>
      <c r="B240" s="186">
        <v>1</v>
      </c>
      <c r="C240" s="132" t="s">
        <v>15</v>
      </c>
      <c r="D240" s="132" t="s">
        <v>17</v>
      </c>
      <c r="E240" s="132">
        <v>93</v>
      </c>
      <c r="F240" s="132">
        <v>7</v>
      </c>
      <c r="G240" s="22">
        <v>296000</v>
      </c>
      <c r="H240" s="35"/>
      <c r="I240" s="35"/>
      <c r="J240" s="35"/>
      <c r="K240" s="35"/>
      <c r="L240" s="132" t="s">
        <v>16</v>
      </c>
      <c r="N240" s="35"/>
      <c r="O240" s="35"/>
      <c r="P240" s="132" t="s">
        <v>16</v>
      </c>
      <c r="R240" s="35"/>
      <c r="S240" s="35"/>
      <c r="T240" s="304">
        <v>100</v>
      </c>
      <c r="V240" s="229">
        <v>249</v>
      </c>
    </row>
    <row r="241" spans="1:22" ht="15.75" customHeight="1">
      <c r="A241" s="193">
        <v>55</v>
      </c>
      <c r="B241" s="186">
        <v>2</v>
      </c>
      <c r="C241" s="132" t="s">
        <v>15</v>
      </c>
      <c r="D241" s="132" t="s">
        <v>17</v>
      </c>
      <c r="E241" s="132">
        <v>93</v>
      </c>
      <c r="F241" s="132">
        <v>7</v>
      </c>
      <c r="G241" s="22">
        <v>296000</v>
      </c>
      <c r="H241" s="35"/>
      <c r="I241" s="35"/>
      <c r="J241" s="35"/>
      <c r="K241" s="35"/>
      <c r="L241" s="132" t="s">
        <v>18</v>
      </c>
      <c r="M241" s="334" t="s">
        <v>689</v>
      </c>
      <c r="N241" s="132" t="s">
        <v>51</v>
      </c>
      <c r="O241" s="132">
        <v>50</v>
      </c>
      <c r="P241" s="132" t="s">
        <v>16</v>
      </c>
      <c r="R241" s="35"/>
      <c r="S241" s="35"/>
      <c r="T241" s="304">
        <v>50</v>
      </c>
      <c r="V241" s="229">
        <v>250</v>
      </c>
    </row>
    <row r="242" spans="1:22" ht="15.75" customHeight="1">
      <c r="A242" s="193">
        <v>55</v>
      </c>
      <c r="B242" s="186">
        <v>3</v>
      </c>
      <c r="C242" s="132" t="s">
        <v>15</v>
      </c>
      <c r="D242" s="132" t="s">
        <v>17</v>
      </c>
      <c r="E242" s="132">
        <v>93</v>
      </c>
      <c r="F242" s="132">
        <v>7</v>
      </c>
      <c r="G242" s="22">
        <v>296000</v>
      </c>
      <c r="H242" s="35"/>
      <c r="I242" s="35"/>
      <c r="J242" s="35"/>
      <c r="K242" s="35"/>
      <c r="L242" s="132" t="s">
        <v>18</v>
      </c>
      <c r="M242" s="334" t="s">
        <v>689</v>
      </c>
      <c r="N242" s="132" t="s">
        <v>52</v>
      </c>
      <c r="O242" s="132">
        <v>50</v>
      </c>
      <c r="P242" s="132" t="s">
        <v>16</v>
      </c>
      <c r="R242" s="35"/>
      <c r="S242" s="35"/>
      <c r="T242" s="304">
        <v>50</v>
      </c>
      <c r="V242" s="229">
        <v>251</v>
      </c>
    </row>
    <row r="243" spans="1:22" ht="15.75" customHeight="1">
      <c r="A243" s="193">
        <v>55</v>
      </c>
      <c r="B243" s="186">
        <v>4</v>
      </c>
      <c r="C243" s="132" t="s">
        <v>15</v>
      </c>
      <c r="D243" s="132" t="s">
        <v>17</v>
      </c>
      <c r="E243" s="132">
        <v>93</v>
      </c>
      <c r="F243" s="132">
        <v>7</v>
      </c>
      <c r="G243" s="22">
        <v>296000</v>
      </c>
      <c r="H243" s="35"/>
      <c r="I243" s="35"/>
      <c r="J243" s="35"/>
      <c r="K243" s="35"/>
      <c r="L243" s="132" t="s">
        <v>18</v>
      </c>
      <c r="M243" s="334" t="s">
        <v>689</v>
      </c>
      <c r="N243" s="132" t="s">
        <v>53</v>
      </c>
      <c r="O243" s="132">
        <v>50</v>
      </c>
      <c r="P243" s="132" t="s">
        <v>16</v>
      </c>
      <c r="R243" s="35"/>
      <c r="S243" s="35"/>
      <c r="T243" s="304">
        <v>50</v>
      </c>
      <c r="V243" s="229">
        <v>252</v>
      </c>
    </row>
    <row r="244" spans="1:22" ht="15.75" customHeight="1">
      <c r="A244" s="193">
        <v>55</v>
      </c>
      <c r="B244" s="186">
        <v>5</v>
      </c>
      <c r="C244" s="132" t="s">
        <v>15</v>
      </c>
      <c r="D244" s="132" t="s">
        <v>17</v>
      </c>
      <c r="E244" s="132">
        <v>93</v>
      </c>
      <c r="F244" s="132">
        <v>7</v>
      </c>
      <c r="G244" s="22">
        <v>296000</v>
      </c>
      <c r="H244" s="35"/>
      <c r="I244" s="35"/>
      <c r="J244" s="35"/>
      <c r="K244" s="35"/>
      <c r="L244" s="132" t="s">
        <v>18</v>
      </c>
      <c r="M244" s="334" t="s">
        <v>689</v>
      </c>
      <c r="N244" s="132" t="s">
        <v>51</v>
      </c>
      <c r="O244" s="132">
        <v>30</v>
      </c>
      <c r="P244" s="132" t="s">
        <v>16</v>
      </c>
      <c r="T244" s="304">
        <v>70</v>
      </c>
      <c r="V244" s="229">
        <v>253</v>
      </c>
    </row>
    <row r="245" spans="1:22" ht="15.75" customHeight="1">
      <c r="A245" s="193">
        <v>55</v>
      </c>
      <c r="B245" s="186">
        <v>6</v>
      </c>
      <c r="C245" s="132" t="s">
        <v>15</v>
      </c>
      <c r="D245" s="132" t="s">
        <v>17</v>
      </c>
      <c r="E245" s="132">
        <v>93</v>
      </c>
      <c r="F245" s="132">
        <v>7</v>
      </c>
      <c r="G245" s="22">
        <v>296000</v>
      </c>
      <c r="H245" s="35"/>
      <c r="I245" s="35"/>
      <c r="J245" s="35"/>
      <c r="K245" s="35"/>
      <c r="L245" s="132" t="s">
        <v>18</v>
      </c>
      <c r="M245" s="334" t="s">
        <v>689</v>
      </c>
      <c r="N245" s="132" t="s">
        <v>52</v>
      </c>
      <c r="O245" s="132">
        <v>30</v>
      </c>
      <c r="P245" s="132" t="s">
        <v>16</v>
      </c>
      <c r="T245" s="304">
        <v>70</v>
      </c>
      <c r="V245" s="229">
        <v>254</v>
      </c>
    </row>
    <row r="246" spans="1:22" ht="15.75" customHeight="1" thickBot="1">
      <c r="A246" s="191">
        <v>55</v>
      </c>
      <c r="B246" s="188">
        <v>7</v>
      </c>
      <c r="C246" s="189" t="s">
        <v>15</v>
      </c>
      <c r="D246" s="189" t="s">
        <v>17</v>
      </c>
      <c r="E246" s="189">
        <v>93</v>
      </c>
      <c r="F246" s="189">
        <v>7</v>
      </c>
      <c r="G246" s="37">
        <v>296000</v>
      </c>
      <c r="H246" s="190"/>
      <c r="I246" s="190"/>
      <c r="J246" s="190"/>
      <c r="K246" s="190"/>
      <c r="L246" s="189" t="s">
        <v>18</v>
      </c>
      <c r="M246" s="353" t="s">
        <v>689</v>
      </c>
      <c r="N246" s="189" t="s">
        <v>53</v>
      </c>
      <c r="O246" s="189">
        <v>30</v>
      </c>
      <c r="P246" s="189" t="s">
        <v>16</v>
      </c>
      <c r="Q246" s="352"/>
      <c r="R246" s="195"/>
      <c r="S246" s="195"/>
      <c r="T246" s="308">
        <v>70</v>
      </c>
      <c r="V246" s="229">
        <v>255</v>
      </c>
    </row>
    <row r="247" spans="1:22" ht="15.75" customHeight="1">
      <c r="A247" s="193">
        <v>56</v>
      </c>
      <c r="B247" s="186">
        <v>1</v>
      </c>
      <c r="C247" s="132" t="s">
        <v>15</v>
      </c>
      <c r="D247" s="132" t="s">
        <v>17</v>
      </c>
      <c r="E247" s="132">
        <v>100</v>
      </c>
      <c r="F247" s="132">
        <v>0</v>
      </c>
      <c r="G247" s="17"/>
      <c r="H247" s="35"/>
      <c r="I247" s="132">
        <v>1.25</v>
      </c>
      <c r="J247" s="132" t="s">
        <v>25</v>
      </c>
      <c r="K247" s="35"/>
      <c r="L247" s="132" t="s">
        <v>16</v>
      </c>
      <c r="N247" s="35"/>
      <c r="O247" s="35"/>
      <c r="P247" s="132" t="s">
        <v>16</v>
      </c>
      <c r="R247" s="35"/>
      <c r="S247" s="35"/>
      <c r="T247" s="304">
        <v>100</v>
      </c>
      <c r="V247" s="229">
        <v>256</v>
      </c>
    </row>
    <row r="248" spans="1:22" ht="15.75" customHeight="1">
      <c r="A248" s="193">
        <v>56</v>
      </c>
      <c r="B248" s="186">
        <v>2</v>
      </c>
      <c r="C248" s="132" t="s">
        <v>15</v>
      </c>
      <c r="D248" s="132" t="s">
        <v>17</v>
      </c>
      <c r="E248" s="132">
        <v>100</v>
      </c>
      <c r="F248" s="132">
        <v>0</v>
      </c>
      <c r="G248" s="17"/>
      <c r="H248" s="35"/>
      <c r="I248" s="132">
        <v>1.25</v>
      </c>
      <c r="J248" s="132" t="s">
        <v>25</v>
      </c>
      <c r="K248" s="35"/>
      <c r="L248" s="132" t="s">
        <v>18</v>
      </c>
      <c r="M248" s="334" t="s">
        <v>688</v>
      </c>
      <c r="N248" s="132" t="s">
        <v>54</v>
      </c>
      <c r="O248" s="132">
        <v>10</v>
      </c>
      <c r="P248" s="132" t="s">
        <v>16</v>
      </c>
      <c r="R248" s="35"/>
      <c r="S248" s="35"/>
      <c r="T248" s="304">
        <v>90</v>
      </c>
      <c r="V248" s="229">
        <v>257</v>
      </c>
    </row>
    <row r="249" spans="1:22" ht="15.75" customHeight="1">
      <c r="A249" s="193">
        <v>56</v>
      </c>
      <c r="B249" s="186">
        <v>3</v>
      </c>
      <c r="C249" s="132" t="s">
        <v>15</v>
      </c>
      <c r="D249" s="132" t="s">
        <v>17</v>
      </c>
      <c r="E249" s="132">
        <v>100</v>
      </c>
      <c r="F249" s="132">
        <v>0</v>
      </c>
      <c r="G249" s="17"/>
      <c r="H249" s="35"/>
      <c r="I249" s="132">
        <v>1.25</v>
      </c>
      <c r="J249" s="132" t="s">
        <v>25</v>
      </c>
      <c r="K249" s="35"/>
      <c r="L249" s="132" t="s">
        <v>18</v>
      </c>
      <c r="M249" s="334" t="s">
        <v>688</v>
      </c>
      <c r="N249" s="132" t="s">
        <v>54</v>
      </c>
      <c r="O249" s="132">
        <v>20</v>
      </c>
      <c r="P249" s="132" t="s">
        <v>16</v>
      </c>
      <c r="R249" s="35"/>
      <c r="S249" s="35"/>
      <c r="T249" s="304">
        <v>80</v>
      </c>
      <c r="V249" s="229">
        <v>258</v>
      </c>
    </row>
    <row r="250" spans="1:22" ht="15.75" customHeight="1">
      <c r="A250" s="193">
        <v>56</v>
      </c>
      <c r="B250" s="186">
        <v>4</v>
      </c>
      <c r="C250" s="132" t="s">
        <v>15</v>
      </c>
      <c r="D250" s="132" t="s">
        <v>17</v>
      </c>
      <c r="E250" s="132">
        <v>100</v>
      </c>
      <c r="F250" s="132">
        <v>0</v>
      </c>
      <c r="G250" s="17"/>
      <c r="H250" s="35"/>
      <c r="I250" s="132">
        <v>1.25</v>
      </c>
      <c r="J250" s="132" t="s">
        <v>25</v>
      </c>
      <c r="K250" s="35"/>
      <c r="L250" s="132" t="s">
        <v>18</v>
      </c>
      <c r="M250" s="334" t="s">
        <v>688</v>
      </c>
      <c r="N250" s="132" t="s">
        <v>55</v>
      </c>
      <c r="O250" s="132">
        <v>10</v>
      </c>
      <c r="P250" s="132" t="s">
        <v>16</v>
      </c>
      <c r="R250" s="35"/>
      <c r="S250" s="35"/>
      <c r="T250" s="304">
        <v>90</v>
      </c>
      <c r="V250" s="229">
        <v>259</v>
      </c>
    </row>
    <row r="251" spans="1:22" ht="15.75" customHeight="1">
      <c r="A251" s="193">
        <v>56</v>
      </c>
      <c r="B251" s="186">
        <v>5</v>
      </c>
      <c r="C251" s="132" t="s">
        <v>15</v>
      </c>
      <c r="D251" s="132" t="s">
        <v>17</v>
      </c>
      <c r="E251" s="132">
        <v>100</v>
      </c>
      <c r="F251" s="132">
        <v>0</v>
      </c>
      <c r="G251" s="17"/>
      <c r="H251" s="35"/>
      <c r="I251" s="132">
        <v>1.25</v>
      </c>
      <c r="J251" s="132" t="s">
        <v>25</v>
      </c>
      <c r="K251" s="35"/>
      <c r="L251" s="132" t="s">
        <v>18</v>
      </c>
      <c r="M251" s="334" t="s">
        <v>688</v>
      </c>
      <c r="N251" s="132" t="s">
        <v>55</v>
      </c>
      <c r="O251" s="132">
        <v>20</v>
      </c>
      <c r="P251" s="132" t="s">
        <v>16</v>
      </c>
      <c r="R251" s="35"/>
      <c r="S251" s="35"/>
      <c r="T251" s="304">
        <v>80</v>
      </c>
      <c r="V251" s="229">
        <v>260</v>
      </c>
    </row>
    <row r="252" spans="1:22" ht="15.75" customHeight="1">
      <c r="A252" s="193">
        <v>56</v>
      </c>
      <c r="B252" s="186">
        <v>6</v>
      </c>
      <c r="C252" s="132" t="s">
        <v>15</v>
      </c>
      <c r="D252" s="132" t="s">
        <v>17</v>
      </c>
      <c r="E252" s="132">
        <v>100</v>
      </c>
      <c r="F252" s="132">
        <v>0</v>
      </c>
      <c r="G252" s="17"/>
      <c r="H252" s="35"/>
      <c r="I252" s="132">
        <v>1.25</v>
      </c>
      <c r="J252" s="132" t="s">
        <v>25</v>
      </c>
      <c r="K252" s="35"/>
      <c r="L252" s="132" t="s">
        <v>18</v>
      </c>
      <c r="M252" s="334" t="s">
        <v>688</v>
      </c>
      <c r="N252" s="132" t="s">
        <v>56</v>
      </c>
      <c r="O252" s="132">
        <v>10</v>
      </c>
      <c r="P252" s="132" t="s">
        <v>16</v>
      </c>
      <c r="R252" s="35"/>
      <c r="S252" s="35"/>
      <c r="T252" s="304">
        <v>90</v>
      </c>
      <c r="V252" s="229">
        <v>261</v>
      </c>
    </row>
    <row r="253" spans="1:22" ht="15.75" customHeight="1" thickBot="1">
      <c r="A253" s="191">
        <v>56</v>
      </c>
      <c r="B253" s="188">
        <v>7</v>
      </c>
      <c r="C253" s="189" t="s">
        <v>15</v>
      </c>
      <c r="D253" s="189" t="s">
        <v>17</v>
      </c>
      <c r="E253" s="189">
        <v>100</v>
      </c>
      <c r="F253" s="189">
        <v>0</v>
      </c>
      <c r="G253" s="40"/>
      <c r="H253" s="190"/>
      <c r="I253" s="189">
        <v>1.25</v>
      </c>
      <c r="J253" s="189" t="s">
        <v>25</v>
      </c>
      <c r="K253" s="190"/>
      <c r="L253" s="189" t="s">
        <v>18</v>
      </c>
      <c r="M253" s="353" t="s">
        <v>688</v>
      </c>
      <c r="N253" s="189" t="s">
        <v>56</v>
      </c>
      <c r="O253" s="189">
        <v>20</v>
      </c>
      <c r="P253" s="189" t="s">
        <v>16</v>
      </c>
      <c r="Q253" s="352"/>
      <c r="R253" s="190"/>
      <c r="S253" s="190"/>
      <c r="T253" s="308">
        <v>80</v>
      </c>
      <c r="V253" s="229">
        <v>262</v>
      </c>
    </row>
    <row r="254" spans="1:22" ht="15.75" customHeight="1">
      <c r="A254" s="193">
        <v>57</v>
      </c>
      <c r="B254" s="186">
        <v>1</v>
      </c>
      <c r="C254" s="132" t="s">
        <v>15</v>
      </c>
      <c r="D254" s="132" t="s">
        <v>17</v>
      </c>
      <c r="E254" s="132">
        <v>98</v>
      </c>
      <c r="F254" s="132">
        <v>2</v>
      </c>
      <c r="G254" s="23"/>
      <c r="I254" s="132">
        <v>1.23</v>
      </c>
      <c r="J254" s="132" t="s">
        <v>25</v>
      </c>
      <c r="L254" s="132" t="s">
        <v>16</v>
      </c>
      <c r="N254" s="35"/>
      <c r="O254" s="35"/>
      <c r="P254" s="132" t="s">
        <v>16</v>
      </c>
      <c r="R254" s="35"/>
      <c r="S254" s="35"/>
      <c r="T254" s="304">
        <v>100</v>
      </c>
      <c r="V254" s="229">
        <v>263</v>
      </c>
    </row>
    <row r="255" spans="1:22" ht="15.75" customHeight="1">
      <c r="A255" s="193">
        <v>57</v>
      </c>
      <c r="B255" s="186">
        <v>2</v>
      </c>
      <c r="C255" s="132" t="s">
        <v>15</v>
      </c>
      <c r="D255" s="132" t="s">
        <v>17</v>
      </c>
      <c r="E255" s="132">
        <v>98</v>
      </c>
      <c r="F255" s="132">
        <v>2</v>
      </c>
      <c r="G255" s="23"/>
      <c r="I255" s="132">
        <v>1.23</v>
      </c>
      <c r="J255" s="132" t="s">
        <v>25</v>
      </c>
      <c r="L255" s="132" t="s">
        <v>18</v>
      </c>
      <c r="M255" s="334" t="s">
        <v>687</v>
      </c>
      <c r="N255" s="132" t="s">
        <v>57</v>
      </c>
      <c r="O255" s="132">
        <v>0.5</v>
      </c>
      <c r="P255" s="132" t="s">
        <v>16</v>
      </c>
      <c r="R255" s="35"/>
      <c r="S255" s="35"/>
      <c r="T255" s="304">
        <v>99.5</v>
      </c>
      <c r="V255" s="229">
        <v>264</v>
      </c>
    </row>
    <row r="256" spans="1:22" ht="15.75" customHeight="1">
      <c r="A256" s="193">
        <v>57</v>
      </c>
      <c r="B256" s="186">
        <v>3</v>
      </c>
      <c r="C256" s="132" t="s">
        <v>15</v>
      </c>
      <c r="D256" s="132" t="s">
        <v>17</v>
      </c>
      <c r="E256" s="132">
        <v>98</v>
      </c>
      <c r="F256" s="132">
        <v>2</v>
      </c>
      <c r="G256" s="23"/>
      <c r="I256" s="132">
        <v>1.23</v>
      </c>
      <c r="J256" s="132" t="s">
        <v>25</v>
      </c>
      <c r="L256" s="132" t="s">
        <v>18</v>
      </c>
      <c r="M256" s="334" t="s">
        <v>687</v>
      </c>
      <c r="N256" s="132" t="s">
        <v>57</v>
      </c>
      <c r="O256" s="132">
        <v>1</v>
      </c>
      <c r="P256" s="132" t="s">
        <v>16</v>
      </c>
      <c r="R256" s="35"/>
      <c r="S256" s="35"/>
      <c r="T256" s="304">
        <v>99</v>
      </c>
      <c r="V256" s="229">
        <v>265</v>
      </c>
    </row>
    <row r="257" spans="1:22" ht="15.75" customHeight="1">
      <c r="A257" s="193">
        <v>57</v>
      </c>
      <c r="B257" s="186">
        <v>4</v>
      </c>
      <c r="C257" s="132" t="s">
        <v>15</v>
      </c>
      <c r="D257" s="132" t="s">
        <v>17</v>
      </c>
      <c r="E257" s="132">
        <v>98</v>
      </c>
      <c r="F257" s="132">
        <v>2</v>
      </c>
      <c r="G257" s="23"/>
      <c r="I257" s="132">
        <v>1.23</v>
      </c>
      <c r="J257" s="132" t="s">
        <v>25</v>
      </c>
      <c r="L257" s="132" t="s">
        <v>18</v>
      </c>
      <c r="M257" s="334" t="s">
        <v>687</v>
      </c>
      <c r="N257" s="132" t="s">
        <v>57</v>
      </c>
      <c r="O257" s="132">
        <v>1.5</v>
      </c>
      <c r="P257" s="132" t="s">
        <v>16</v>
      </c>
      <c r="R257" s="35"/>
      <c r="S257" s="35"/>
      <c r="T257" s="304">
        <v>88.5</v>
      </c>
      <c r="V257" s="229">
        <v>266</v>
      </c>
    </row>
    <row r="258" spans="1:22" ht="15.75" customHeight="1">
      <c r="A258" s="193">
        <v>57</v>
      </c>
      <c r="B258" s="186">
        <v>5</v>
      </c>
      <c r="C258" s="132" t="s">
        <v>15</v>
      </c>
      <c r="D258" s="132" t="s">
        <v>17</v>
      </c>
      <c r="E258" s="132">
        <v>98</v>
      </c>
      <c r="F258" s="132">
        <v>2</v>
      </c>
      <c r="G258" s="23"/>
      <c r="I258" s="132">
        <v>1.23</v>
      </c>
      <c r="J258" s="132" t="s">
        <v>25</v>
      </c>
      <c r="L258" s="132" t="s">
        <v>18</v>
      </c>
      <c r="M258" s="334" t="s">
        <v>687</v>
      </c>
      <c r="N258" s="132" t="s">
        <v>57</v>
      </c>
      <c r="O258" s="132">
        <v>2</v>
      </c>
      <c r="P258" s="132" t="s">
        <v>16</v>
      </c>
      <c r="R258" s="35"/>
      <c r="S258" s="35"/>
      <c r="T258" s="304">
        <v>98</v>
      </c>
      <c r="V258" s="229">
        <v>267</v>
      </c>
    </row>
    <row r="259" spans="1:22" ht="15.75" customHeight="1">
      <c r="A259" s="193">
        <v>57</v>
      </c>
      <c r="B259" s="186">
        <v>6</v>
      </c>
      <c r="C259" s="132" t="s">
        <v>15</v>
      </c>
      <c r="D259" s="132" t="s">
        <v>17</v>
      </c>
      <c r="E259" s="132">
        <v>98</v>
      </c>
      <c r="F259" s="132">
        <v>2</v>
      </c>
      <c r="G259" s="23"/>
      <c r="I259" s="132">
        <v>1.23</v>
      </c>
      <c r="J259" s="132" t="s">
        <v>25</v>
      </c>
      <c r="L259" s="132" t="s">
        <v>18</v>
      </c>
      <c r="M259" s="334" t="s">
        <v>687</v>
      </c>
      <c r="N259" s="132" t="s">
        <v>57</v>
      </c>
      <c r="O259" s="132">
        <v>5</v>
      </c>
      <c r="P259" s="132" t="s">
        <v>16</v>
      </c>
      <c r="R259" s="35"/>
      <c r="S259" s="35"/>
      <c r="T259" s="304">
        <v>95</v>
      </c>
      <c r="V259" s="229">
        <v>268</v>
      </c>
    </row>
    <row r="260" spans="1:22" ht="15.75" customHeight="1" thickBot="1">
      <c r="A260" s="191">
        <v>57</v>
      </c>
      <c r="B260" s="188">
        <v>7</v>
      </c>
      <c r="C260" s="189" t="s">
        <v>15</v>
      </c>
      <c r="D260" s="189" t="s">
        <v>17</v>
      </c>
      <c r="E260" s="189">
        <v>98</v>
      </c>
      <c r="F260" s="189">
        <v>2</v>
      </c>
      <c r="G260" s="39"/>
      <c r="H260" s="195"/>
      <c r="I260" s="189">
        <v>1.23</v>
      </c>
      <c r="J260" s="189" t="s">
        <v>25</v>
      </c>
      <c r="K260" s="195"/>
      <c r="L260" s="189" t="s">
        <v>18</v>
      </c>
      <c r="M260" s="353" t="s">
        <v>687</v>
      </c>
      <c r="N260" s="189" t="s">
        <v>57</v>
      </c>
      <c r="O260" s="189">
        <v>10</v>
      </c>
      <c r="P260" s="189" t="s">
        <v>16</v>
      </c>
      <c r="Q260" s="352"/>
      <c r="R260" s="190"/>
      <c r="S260" s="190"/>
      <c r="T260" s="308">
        <v>90</v>
      </c>
      <c r="V260" s="229">
        <v>269</v>
      </c>
    </row>
    <row r="261" spans="1:22" ht="15.75" customHeight="1">
      <c r="A261" s="193">
        <v>58</v>
      </c>
      <c r="B261" s="186">
        <v>1</v>
      </c>
      <c r="C261" s="132" t="s">
        <v>15</v>
      </c>
      <c r="D261" s="132" t="s">
        <v>17</v>
      </c>
      <c r="E261" s="132">
        <v>82</v>
      </c>
      <c r="F261" s="132">
        <v>18</v>
      </c>
      <c r="G261" s="22">
        <v>420000</v>
      </c>
      <c r="H261" s="35"/>
      <c r="I261" s="35"/>
      <c r="J261" s="35"/>
      <c r="K261" s="35"/>
      <c r="L261" s="132" t="s">
        <v>16</v>
      </c>
      <c r="N261" s="132"/>
      <c r="O261" s="35"/>
      <c r="P261" s="132" t="s">
        <v>16</v>
      </c>
      <c r="R261" s="35"/>
      <c r="S261" s="35"/>
      <c r="T261" s="304">
        <v>100</v>
      </c>
      <c r="V261" s="229">
        <v>270</v>
      </c>
    </row>
    <row r="262" spans="1:22" ht="15.75" customHeight="1">
      <c r="A262" s="193">
        <v>58</v>
      </c>
      <c r="B262" s="186">
        <v>2</v>
      </c>
      <c r="C262" s="132" t="s">
        <v>15</v>
      </c>
      <c r="D262" s="132" t="s">
        <v>17</v>
      </c>
      <c r="E262" s="132">
        <v>82</v>
      </c>
      <c r="F262" s="132">
        <v>18</v>
      </c>
      <c r="G262" s="22">
        <v>420000</v>
      </c>
      <c r="H262" s="35"/>
      <c r="I262" s="35"/>
      <c r="J262" s="35"/>
      <c r="K262" s="35"/>
      <c r="L262" s="132" t="s">
        <v>18</v>
      </c>
      <c r="M262" s="334" t="s">
        <v>688</v>
      </c>
      <c r="N262" s="132" t="s">
        <v>26</v>
      </c>
      <c r="O262" s="35">
        <v>20</v>
      </c>
      <c r="P262" s="132" t="s">
        <v>16</v>
      </c>
      <c r="R262" s="35"/>
      <c r="S262" s="35"/>
      <c r="T262" s="304">
        <v>80</v>
      </c>
      <c r="V262" s="229">
        <v>271</v>
      </c>
    </row>
    <row r="263" spans="1:22" ht="15.75" customHeight="1">
      <c r="A263" s="193">
        <v>58</v>
      </c>
      <c r="B263" s="186">
        <v>3</v>
      </c>
      <c r="C263" s="132" t="s">
        <v>15</v>
      </c>
      <c r="D263" s="132" t="s">
        <v>17</v>
      </c>
      <c r="E263" s="132">
        <v>82</v>
      </c>
      <c r="F263" s="132">
        <v>18</v>
      </c>
      <c r="G263" s="22">
        <v>420000</v>
      </c>
      <c r="H263" s="35"/>
      <c r="I263" s="35"/>
      <c r="J263" s="35"/>
      <c r="K263" s="35"/>
      <c r="L263" s="132" t="s">
        <v>18</v>
      </c>
      <c r="M263" s="334" t="s">
        <v>688</v>
      </c>
      <c r="N263" s="132" t="s">
        <v>26</v>
      </c>
      <c r="O263" s="35">
        <v>40</v>
      </c>
      <c r="P263" s="132" t="s">
        <v>16</v>
      </c>
      <c r="R263" s="35"/>
      <c r="S263" s="35"/>
      <c r="T263" s="304">
        <v>60</v>
      </c>
      <c r="V263" s="229">
        <v>272</v>
      </c>
    </row>
    <row r="264" spans="1:22" ht="15.75" customHeight="1">
      <c r="A264" s="193">
        <v>58</v>
      </c>
      <c r="B264" s="186">
        <v>4</v>
      </c>
      <c r="C264" s="132" t="s">
        <v>15</v>
      </c>
      <c r="D264" s="132" t="s">
        <v>17</v>
      </c>
      <c r="E264" s="132">
        <v>82</v>
      </c>
      <c r="F264" s="132">
        <v>18</v>
      </c>
      <c r="G264" s="22">
        <v>420000</v>
      </c>
      <c r="H264" s="35"/>
      <c r="I264" s="35"/>
      <c r="J264" s="35"/>
      <c r="K264" s="35"/>
      <c r="L264" s="132" t="s">
        <v>18</v>
      </c>
      <c r="M264" s="334" t="s">
        <v>688</v>
      </c>
      <c r="N264" s="132" t="s">
        <v>26</v>
      </c>
      <c r="O264" s="35">
        <v>50</v>
      </c>
      <c r="P264" s="132" t="s">
        <v>16</v>
      </c>
      <c r="R264" s="35"/>
      <c r="S264" s="35"/>
      <c r="T264" s="304">
        <v>50</v>
      </c>
      <c r="V264" s="229">
        <v>273</v>
      </c>
    </row>
    <row r="265" spans="1:22" ht="15.75" customHeight="1">
      <c r="A265" s="193">
        <v>59</v>
      </c>
      <c r="B265" s="186">
        <v>1</v>
      </c>
      <c r="C265" s="132" t="s">
        <v>15</v>
      </c>
      <c r="D265" s="132" t="s">
        <v>17</v>
      </c>
      <c r="E265" s="132">
        <v>80</v>
      </c>
      <c r="F265" s="132">
        <v>20</v>
      </c>
      <c r="G265" s="23"/>
      <c r="L265" s="132" t="s">
        <v>16</v>
      </c>
      <c r="N265" s="202"/>
      <c r="P265" s="132" t="s">
        <v>16</v>
      </c>
      <c r="T265" s="304">
        <v>100</v>
      </c>
      <c r="V265" s="229">
        <v>276</v>
      </c>
    </row>
    <row r="266" spans="1:22" ht="15.75" customHeight="1">
      <c r="A266" s="193">
        <v>59</v>
      </c>
      <c r="B266" s="186">
        <v>2</v>
      </c>
      <c r="C266" s="132" t="s">
        <v>15</v>
      </c>
      <c r="D266" s="132" t="s">
        <v>17</v>
      </c>
      <c r="E266" s="132">
        <v>80</v>
      </c>
      <c r="F266" s="132">
        <v>20</v>
      </c>
      <c r="G266" s="23"/>
      <c r="L266" s="132" t="s">
        <v>18</v>
      </c>
      <c r="M266" s="334" t="s">
        <v>687</v>
      </c>
      <c r="N266" s="132" t="s">
        <v>58</v>
      </c>
      <c r="O266" s="132">
        <v>10</v>
      </c>
      <c r="P266" s="132" t="s">
        <v>16</v>
      </c>
      <c r="T266" s="304">
        <v>90</v>
      </c>
      <c r="V266" s="229">
        <v>277</v>
      </c>
    </row>
    <row r="267" spans="1:22" ht="15.75" customHeight="1">
      <c r="A267" s="193">
        <v>59</v>
      </c>
      <c r="B267" s="186">
        <v>3</v>
      </c>
      <c r="C267" s="132" t="s">
        <v>15</v>
      </c>
      <c r="D267" s="132" t="s">
        <v>17</v>
      </c>
      <c r="E267" s="132">
        <v>80</v>
      </c>
      <c r="F267" s="132">
        <v>20</v>
      </c>
      <c r="G267" s="23"/>
      <c r="L267" s="132" t="s">
        <v>18</v>
      </c>
      <c r="M267" s="334" t="s">
        <v>687</v>
      </c>
      <c r="N267" s="132" t="s">
        <v>59</v>
      </c>
      <c r="O267" s="132">
        <v>10</v>
      </c>
      <c r="P267" s="132" t="s">
        <v>16</v>
      </c>
      <c r="T267" s="304">
        <v>90</v>
      </c>
      <c r="V267" s="229">
        <v>278</v>
      </c>
    </row>
    <row r="268" spans="1:22" ht="15.75" customHeight="1" thickBot="1">
      <c r="A268" s="191">
        <v>59</v>
      </c>
      <c r="B268" s="188">
        <v>4</v>
      </c>
      <c r="C268" s="189" t="s">
        <v>15</v>
      </c>
      <c r="D268" s="189" t="s">
        <v>17</v>
      </c>
      <c r="E268" s="189">
        <v>80</v>
      </c>
      <c r="F268" s="189">
        <v>20</v>
      </c>
      <c r="G268" s="39"/>
      <c r="H268" s="195"/>
      <c r="I268" s="195"/>
      <c r="J268" s="195"/>
      <c r="K268" s="195"/>
      <c r="L268" s="189" t="s">
        <v>18</v>
      </c>
      <c r="M268" s="353" t="s">
        <v>687</v>
      </c>
      <c r="N268" s="189" t="s">
        <v>60</v>
      </c>
      <c r="O268" s="189">
        <v>10</v>
      </c>
      <c r="P268" s="189" t="s">
        <v>16</v>
      </c>
      <c r="Q268" s="352"/>
      <c r="R268" s="195"/>
      <c r="S268" s="195"/>
      <c r="T268" s="308">
        <v>90</v>
      </c>
      <c r="V268" s="229">
        <v>279</v>
      </c>
    </row>
    <row r="269" spans="1:22" ht="15.75" customHeight="1">
      <c r="A269" s="193">
        <v>60</v>
      </c>
      <c r="B269" s="186">
        <v>1</v>
      </c>
      <c r="C269" s="132" t="s">
        <v>15</v>
      </c>
      <c r="D269" s="132" t="s">
        <v>17</v>
      </c>
      <c r="E269" s="132">
        <v>68</v>
      </c>
      <c r="F269" s="132">
        <v>32</v>
      </c>
      <c r="G269" s="22">
        <v>530000</v>
      </c>
      <c r="K269" s="132">
        <v>3.9</v>
      </c>
      <c r="L269" s="132" t="s">
        <v>16</v>
      </c>
      <c r="N269" s="35"/>
      <c r="P269" s="132" t="s">
        <v>16</v>
      </c>
      <c r="T269" s="304">
        <v>100</v>
      </c>
      <c r="V269" s="229">
        <v>280</v>
      </c>
    </row>
    <row r="270" spans="1:22" ht="15.75" customHeight="1">
      <c r="A270" s="193">
        <v>60</v>
      </c>
      <c r="B270" s="186">
        <v>2</v>
      </c>
      <c r="C270" s="132" t="s">
        <v>15</v>
      </c>
      <c r="D270" s="132" t="s">
        <v>17</v>
      </c>
      <c r="E270" s="132">
        <v>68</v>
      </c>
      <c r="F270" s="132">
        <v>32</v>
      </c>
      <c r="G270" s="22">
        <v>510000</v>
      </c>
      <c r="K270" s="132">
        <v>4.4000000000000004</v>
      </c>
      <c r="L270" s="132" t="s">
        <v>16</v>
      </c>
      <c r="P270" s="132" t="s">
        <v>16</v>
      </c>
      <c r="T270" s="304">
        <v>100</v>
      </c>
      <c r="V270" s="229">
        <v>281</v>
      </c>
    </row>
    <row r="271" spans="1:22" ht="15.75" customHeight="1">
      <c r="A271" s="193">
        <v>60</v>
      </c>
      <c r="B271" s="186">
        <v>3</v>
      </c>
      <c r="C271" s="132" t="s">
        <v>15</v>
      </c>
      <c r="D271" s="132" t="s">
        <v>17</v>
      </c>
      <c r="E271" s="132">
        <v>70</v>
      </c>
      <c r="F271" s="132">
        <v>30</v>
      </c>
      <c r="G271" s="22">
        <v>540000</v>
      </c>
      <c r="K271" s="132">
        <v>3.8</v>
      </c>
      <c r="L271" s="132" t="s">
        <v>16</v>
      </c>
      <c r="P271" s="132" t="s">
        <v>16</v>
      </c>
      <c r="T271" s="304">
        <v>100</v>
      </c>
      <c r="V271" s="229">
        <v>282</v>
      </c>
    </row>
    <row r="272" spans="1:22" ht="15.75" customHeight="1">
      <c r="A272" s="193">
        <v>60</v>
      </c>
      <c r="B272" s="186">
        <v>4</v>
      </c>
      <c r="C272" s="132" t="s">
        <v>15</v>
      </c>
      <c r="D272" s="132" t="s">
        <v>17</v>
      </c>
      <c r="E272" s="132">
        <v>70</v>
      </c>
      <c r="F272" s="132">
        <v>30</v>
      </c>
      <c r="G272" s="22">
        <v>590000</v>
      </c>
      <c r="K272" s="132">
        <v>4.0999999999999996</v>
      </c>
      <c r="L272" s="132" t="s">
        <v>16</v>
      </c>
      <c r="P272" s="132" t="s">
        <v>16</v>
      </c>
      <c r="T272" s="304">
        <v>100</v>
      </c>
      <c r="V272" s="229">
        <v>283</v>
      </c>
    </row>
    <row r="273" spans="1:22" ht="15.75" customHeight="1">
      <c r="A273" s="193">
        <v>60</v>
      </c>
      <c r="B273" s="186">
        <v>5</v>
      </c>
      <c r="C273" s="132" t="s">
        <v>15</v>
      </c>
      <c r="D273" s="132" t="s">
        <v>17</v>
      </c>
      <c r="E273" s="132">
        <v>83</v>
      </c>
      <c r="F273" s="132">
        <v>17</v>
      </c>
      <c r="G273" s="22">
        <v>630000</v>
      </c>
      <c r="K273" s="132">
        <v>4.4000000000000004</v>
      </c>
      <c r="L273" s="132" t="s">
        <v>16</v>
      </c>
      <c r="P273" s="132" t="s">
        <v>16</v>
      </c>
      <c r="T273" s="304">
        <v>100</v>
      </c>
      <c r="V273" s="229">
        <v>284</v>
      </c>
    </row>
    <row r="274" spans="1:22" ht="15.75" customHeight="1" thickBot="1">
      <c r="A274" s="191">
        <v>60</v>
      </c>
      <c r="B274" s="188">
        <v>6</v>
      </c>
      <c r="C274" s="189" t="s">
        <v>15</v>
      </c>
      <c r="D274" s="189" t="s">
        <v>17</v>
      </c>
      <c r="E274" s="189">
        <v>87</v>
      </c>
      <c r="F274" s="189">
        <v>13</v>
      </c>
      <c r="G274" s="37">
        <v>590000</v>
      </c>
      <c r="H274" s="195"/>
      <c r="I274" s="195"/>
      <c r="J274" s="195"/>
      <c r="K274" s="189">
        <v>3.1</v>
      </c>
      <c r="L274" s="132" t="s">
        <v>16</v>
      </c>
      <c r="M274" s="353"/>
      <c r="N274" s="195"/>
      <c r="O274" s="195"/>
      <c r="P274" s="132" t="s">
        <v>16</v>
      </c>
      <c r="Q274" s="352"/>
      <c r="R274" s="195"/>
      <c r="S274" s="195"/>
      <c r="T274" s="308">
        <v>100</v>
      </c>
      <c r="V274" s="229">
        <v>285</v>
      </c>
    </row>
    <row r="275" spans="1:22" ht="15.75" customHeight="1" thickBot="1">
      <c r="A275" s="191">
        <v>61</v>
      </c>
      <c r="B275" s="188">
        <v>1</v>
      </c>
      <c r="C275" s="189" t="s">
        <v>15</v>
      </c>
      <c r="D275" s="189" t="s">
        <v>17</v>
      </c>
      <c r="E275" s="189">
        <v>98</v>
      </c>
      <c r="F275" s="189">
        <v>2</v>
      </c>
      <c r="G275" s="37">
        <v>280000</v>
      </c>
      <c r="H275" s="190"/>
      <c r="I275" s="190"/>
      <c r="J275" s="190"/>
      <c r="K275" s="190"/>
      <c r="L275" s="177" t="s">
        <v>16</v>
      </c>
      <c r="M275" s="352"/>
      <c r="N275" s="190"/>
      <c r="O275" s="190"/>
      <c r="P275" s="177" t="s">
        <v>16</v>
      </c>
      <c r="Q275" s="352"/>
      <c r="R275" s="190"/>
      <c r="S275" s="190"/>
      <c r="T275" s="308">
        <v>100</v>
      </c>
      <c r="V275" s="229">
        <v>286</v>
      </c>
    </row>
    <row r="276" spans="1:22" ht="15.75" customHeight="1">
      <c r="A276" s="193">
        <v>62</v>
      </c>
      <c r="B276" s="186">
        <v>1</v>
      </c>
      <c r="C276" s="132" t="s">
        <v>15</v>
      </c>
      <c r="D276" s="132" t="s">
        <v>17</v>
      </c>
      <c r="E276" s="132">
        <v>80</v>
      </c>
      <c r="F276" s="132">
        <v>20</v>
      </c>
      <c r="G276" s="22">
        <v>551000</v>
      </c>
      <c r="H276" s="35"/>
      <c r="I276" s="35"/>
      <c r="J276" s="35"/>
      <c r="K276" s="132">
        <v>1.77</v>
      </c>
      <c r="L276" s="132" t="s">
        <v>16</v>
      </c>
      <c r="N276" s="35"/>
      <c r="O276" s="35"/>
      <c r="P276" s="132" t="s">
        <v>16</v>
      </c>
      <c r="R276" s="35"/>
      <c r="S276" s="35"/>
      <c r="T276" s="304">
        <v>100</v>
      </c>
      <c r="V276" s="229">
        <v>287</v>
      </c>
    </row>
    <row r="277" spans="1:22" ht="15.75" customHeight="1">
      <c r="A277" s="193">
        <v>62</v>
      </c>
      <c r="B277" s="186">
        <v>2</v>
      </c>
      <c r="C277" s="132" t="s">
        <v>15</v>
      </c>
      <c r="D277" s="132" t="s">
        <v>17</v>
      </c>
      <c r="E277" s="132">
        <v>60</v>
      </c>
      <c r="F277" s="132">
        <v>40</v>
      </c>
      <c r="G277" s="22">
        <v>483000</v>
      </c>
      <c r="H277" s="35"/>
      <c r="I277" s="35"/>
      <c r="J277" s="35"/>
      <c r="K277" s="132">
        <v>3.46</v>
      </c>
      <c r="L277" s="132" t="s">
        <v>16</v>
      </c>
      <c r="N277" s="35"/>
      <c r="O277" s="35"/>
      <c r="P277" s="132" t="s">
        <v>16</v>
      </c>
      <c r="R277" s="35"/>
      <c r="S277" s="35"/>
      <c r="T277" s="304">
        <v>100</v>
      </c>
      <c r="V277" s="229">
        <v>288</v>
      </c>
    </row>
    <row r="278" spans="1:22" ht="15.75" customHeight="1" thickBot="1">
      <c r="A278" s="191">
        <v>62</v>
      </c>
      <c r="B278" s="188">
        <v>3</v>
      </c>
      <c r="C278" s="189" t="s">
        <v>15</v>
      </c>
      <c r="D278" s="189" t="s">
        <v>17</v>
      </c>
      <c r="E278" s="189">
        <v>40</v>
      </c>
      <c r="F278" s="189">
        <v>60</v>
      </c>
      <c r="G278" s="37">
        <v>546000</v>
      </c>
      <c r="H278" s="190"/>
      <c r="I278" s="190"/>
      <c r="J278" s="190"/>
      <c r="K278" s="189">
        <v>2.92</v>
      </c>
      <c r="L278" s="189" t="s">
        <v>16</v>
      </c>
      <c r="M278" s="352"/>
      <c r="N278" s="190"/>
      <c r="O278" s="190"/>
      <c r="P278" s="189" t="s">
        <v>16</v>
      </c>
      <c r="Q278" s="352"/>
      <c r="R278" s="190"/>
      <c r="S278" s="190"/>
      <c r="T278" s="308">
        <v>100</v>
      </c>
      <c r="V278" s="229">
        <v>289</v>
      </c>
    </row>
    <row r="279" spans="1:22" ht="15.75" customHeight="1">
      <c r="A279" s="193">
        <v>63</v>
      </c>
      <c r="B279" s="186">
        <v>1</v>
      </c>
      <c r="C279" s="132" t="s">
        <v>15</v>
      </c>
      <c r="D279" s="132" t="s">
        <v>17</v>
      </c>
      <c r="E279" s="132">
        <v>100</v>
      </c>
      <c r="F279" s="132">
        <v>0</v>
      </c>
      <c r="G279" s="22">
        <v>1436000</v>
      </c>
      <c r="K279" s="132">
        <v>4.54</v>
      </c>
      <c r="L279" s="132" t="s">
        <v>16</v>
      </c>
      <c r="P279" s="132" t="s">
        <v>16</v>
      </c>
      <c r="T279" s="304">
        <v>100</v>
      </c>
      <c r="V279" s="229">
        <v>290</v>
      </c>
    </row>
    <row r="280" spans="1:22" ht="15.75" customHeight="1">
      <c r="A280" s="193">
        <v>63</v>
      </c>
      <c r="B280" s="186">
        <v>2</v>
      </c>
      <c r="C280" s="132" t="s">
        <v>15</v>
      </c>
      <c r="D280" s="132" t="s">
        <v>17</v>
      </c>
      <c r="E280" s="132">
        <v>100</v>
      </c>
      <c r="F280" s="132">
        <v>0</v>
      </c>
      <c r="G280" s="22">
        <v>1708000</v>
      </c>
      <c r="K280" s="132">
        <v>3.8</v>
      </c>
      <c r="L280" s="132" t="s">
        <v>16</v>
      </c>
      <c r="P280" s="132" t="s">
        <v>16</v>
      </c>
      <c r="T280" s="304">
        <v>100</v>
      </c>
      <c r="V280" s="229">
        <v>291</v>
      </c>
    </row>
    <row r="281" spans="1:22" ht="15.75" customHeight="1">
      <c r="A281" s="193">
        <v>63</v>
      </c>
      <c r="B281" s="186">
        <v>3</v>
      </c>
      <c r="C281" s="132" t="s">
        <v>15</v>
      </c>
      <c r="D281" s="132" t="s">
        <v>17</v>
      </c>
      <c r="E281" s="132">
        <v>100</v>
      </c>
      <c r="F281" s="132">
        <v>0</v>
      </c>
      <c r="G281" s="22">
        <v>2122000</v>
      </c>
      <c r="K281" s="132">
        <v>3.06</v>
      </c>
      <c r="L281" s="132" t="s">
        <v>16</v>
      </c>
      <c r="P281" s="132" t="s">
        <v>16</v>
      </c>
      <c r="T281" s="304">
        <v>100</v>
      </c>
      <c r="V281" s="229">
        <v>292</v>
      </c>
    </row>
    <row r="282" spans="1:22" ht="15.75" customHeight="1" thickBot="1">
      <c r="A282" s="191">
        <v>63</v>
      </c>
      <c r="B282" s="188">
        <v>4</v>
      </c>
      <c r="C282" s="189" t="s">
        <v>15</v>
      </c>
      <c r="D282" s="189" t="s">
        <v>17</v>
      </c>
      <c r="E282" s="189">
        <v>100</v>
      </c>
      <c r="F282" s="189">
        <v>0</v>
      </c>
      <c r="G282" s="37">
        <v>1589000</v>
      </c>
      <c r="H282" s="195"/>
      <c r="I282" s="195"/>
      <c r="J282" s="195"/>
      <c r="K282" s="189">
        <v>3.9</v>
      </c>
      <c r="L282" s="189" t="s">
        <v>16</v>
      </c>
      <c r="M282" s="352"/>
      <c r="N282" s="195"/>
      <c r="O282" s="195"/>
      <c r="P282" s="189" t="s">
        <v>16</v>
      </c>
      <c r="Q282" s="352"/>
      <c r="R282" s="195"/>
      <c r="S282" s="195"/>
      <c r="T282" s="308">
        <v>100</v>
      </c>
      <c r="V282" s="229">
        <v>293</v>
      </c>
    </row>
    <row r="283" spans="1:22" ht="15.75" customHeight="1">
      <c r="A283" s="193">
        <v>64</v>
      </c>
      <c r="B283" s="186">
        <v>1</v>
      </c>
      <c r="C283" s="132" t="s">
        <v>15</v>
      </c>
      <c r="D283" s="132" t="s">
        <v>17</v>
      </c>
      <c r="E283" s="132">
        <v>97.5</v>
      </c>
      <c r="F283" s="132">
        <v>2.5</v>
      </c>
      <c r="G283" s="23"/>
      <c r="I283" s="132">
        <v>1.23</v>
      </c>
      <c r="J283" s="132" t="s">
        <v>25</v>
      </c>
      <c r="K283" s="35"/>
      <c r="L283" s="132" t="s">
        <v>16</v>
      </c>
      <c r="P283" s="132" t="s">
        <v>16</v>
      </c>
      <c r="T283" s="304">
        <v>100</v>
      </c>
      <c r="V283" s="229">
        <v>294</v>
      </c>
    </row>
    <row r="284" spans="1:22" ht="15.75" customHeight="1">
      <c r="A284" s="193">
        <v>64</v>
      </c>
      <c r="B284" s="186">
        <v>2</v>
      </c>
      <c r="C284" s="132" t="s">
        <v>15</v>
      </c>
      <c r="D284" s="132" t="s">
        <v>17</v>
      </c>
      <c r="E284" s="132">
        <v>97.5</v>
      </c>
      <c r="F284" s="132">
        <v>2.5</v>
      </c>
      <c r="G284" s="23"/>
      <c r="I284" s="132">
        <v>1.23</v>
      </c>
      <c r="J284" s="132" t="s">
        <v>25</v>
      </c>
      <c r="L284" s="132" t="s">
        <v>18</v>
      </c>
      <c r="M284" s="334" t="s">
        <v>688</v>
      </c>
      <c r="N284" s="132" t="s">
        <v>61</v>
      </c>
      <c r="O284" s="35">
        <v>2.5</v>
      </c>
      <c r="P284" s="132" t="s">
        <v>16</v>
      </c>
      <c r="T284" s="304">
        <v>97.5</v>
      </c>
      <c r="V284" s="229">
        <v>295</v>
      </c>
    </row>
    <row r="285" spans="1:22" ht="15.75" customHeight="1">
      <c r="A285" s="193">
        <v>64</v>
      </c>
      <c r="B285" s="186">
        <v>3</v>
      </c>
      <c r="C285" s="132" t="s">
        <v>15</v>
      </c>
      <c r="D285" s="132" t="s">
        <v>17</v>
      </c>
      <c r="E285" s="132">
        <v>97.5</v>
      </c>
      <c r="F285" s="132">
        <v>2.5</v>
      </c>
      <c r="G285" s="23"/>
      <c r="I285" s="132">
        <v>1.23</v>
      </c>
      <c r="J285" s="132" t="s">
        <v>25</v>
      </c>
      <c r="L285" s="132" t="s">
        <v>18</v>
      </c>
      <c r="M285" s="334" t="s">
        <v>688</v>
      </c>
      <c r="N285" s="132" t="s">
        <v>61</v>
      </c>
      <c r="O285" s="35">
        <v>5</v>
      </c>
      <c r="P285" s="132" t="s">
        <v>16</v>
      </c>
      <c r="T285" s="304">
        <v>95</v>
      </c>
      <c r="V285" s="229">
        <v>296</v>
      </c>
    </row>
    <row r="286" spans="1:22" ht="15.75" customHeight="1">
      <c r="A286" s="193">
        <v>64</v>
      </c>
      <c r="B286" s="186">
        <v>4</v>
      </c>
      <c r="C286" s="132" t="s">
        <v>15</v>
      </c>
      <c r="D286" s="132" t="s">
        <v>17</v>
      </c>
      <c r="E286" s="132">
        <v>97.5</v>
      </c>
      <c r="F286" s="132">
        <v>2.5</v>
      </c>
      <c r="G286" s="23"/>
      <c r="I286" s="132">
        <v>1.23</v>
      </c>
      <c r="J286" s="132" t="s">
        <v>25</v>
      </c>
      <c r="L286" s="132" t="s">
        <v>18</v>
      </c>
      <c r="M286" s="334" t="s">
        <v>688</v>
      </c>
      <c r="N286" s="132" t="s">
        <v>61</v>
      </c>
      <c r="O286" s="35">
        <v>7.5</v>
      </c>
      <c r="P286" s="132" t="s">
        <v>16</v>
      </c>
      <c r="T286" s="304">
        <v>92.5</v>
      </c>
      <c r="V286" s="229">
        <v>297</v>
      </c>
    </row>
    <row r="287" spans="1:22" ht="15.75" customHeight="1">
      <c r="A287" s="193">
        <v>64</v>
      </c>
      <c r="B287" s="186">
        <v>5</v>
      </c>
      <c r="C287" s="132" t="s">
        <v>15</v>
      </c>
      <c r="D287" s="132" t="s">
        <v>17</v>
      </c>
      <c r="E287" s="132">
        <v>97.5</v>
      </c>
      <c r="F287" s="132">
        <v>2.5</v>
      </c>
      <c r="G287" s="23"/>
      <c r="I287" s="132">
        <v>1.23</v>
      </c>
      <c r="J287" s="132" t="s">
        <v>25</v>
      </c>
      <c r="L287" s="132" t="s">
        <v>18</v>
      </c>
      <c r="M287" s="334" t="s">
        <v>688</v>
      </c>
      <c r="N287" s="132" t="s">
        <v>61</v>
      </c>
      <c r="O287" s="35">
        <v>10</v>
      </c>
      <c r="P287" s="132" t="s">
        <v>16</v>
      </c>
      <c r="T287" s="304">
        <v>90</v>
      </c>
      <c r="V287" s="229">
        <v>298</v>
      </c>
    </row>
    <row r="288" spans="1:22" ht="15.75" customHeight="1">
      <c r="A288" s="193">
        <v>64</v>
      </c>
      <c r="B288" s="186">
        <v>6</v>
      </c>
      <c r="C288" s="132" t="s">
        <v>15</v>
      </c>
      <c r="D288" s="132" t="s">
        <v>17</v>
      </c>
      <c r="E288" s="132">
        <v>97.5</v>
      </c>
      <c r="F288" s="132">
        <v>2.5</v>
      </c>
      <c r="G288" s="23"/>
      <c r="I288" s="132">
        <v>1.23</v>
      </c>
      <c r="J288" s="132" t="s">
        <v>25</v>
      </c>
      <c r="L288" s="132" t="s">
        <v>18</v>
      </c>
      <c r="M288" s="334" t="s">
        <v>688</v>
      </c>
      <c r="N288" s="132" t="s">
        <v>61</v>
      </c>
      <c r="O288" s="35">
        <v>15</v>
      </c>
      <c r="P288" s="132" t="s">
        <v>16</v>
      </c>
      <c r="T288" s="304">
        <v>85</v>
      </c>
      <c r="V288" s="229">
        <v>299</v>
      </c>
    </row>
    <row r="289" spans="1:22" ht="15.75" customHeight="1">
      <c r="A289" s="193">
        <v>64</v>
      </c>
      <c r="B289" s="186">
        <v>7</v>
      </c>
      <c r="C289" s="132" t="s">
        <v>15</v>
      </c>
      <c r="D289" s="132" t="s">
        <v>17</v>
      </c>
      <c r="E289" s="132">
        <v>97.5</v>
      </c>
      <c r="F289" s="132">
        <v>2.5</v>
      </c>
      <c r="G289" s="23"/>
      <c r="I289" s="132">
        <v>1.23</v>
      </c>
      <c r="J289" s="132" t="s">
        <v>25</v>
      </c>
      <c r="L289" s="132" t="s">
        <v>18</v>
      </c>
      <c r="M289" s="334" t="s">
        <v>688</v>
      </c>
      <c r="N289" s="132" t="s">
        <v>61</v>
      </c>
      <c r="O289" s="35">
        <v>20</v>
      </c>
      <c r="P289" s="132" t="s">
        <v>16</v>
      </c>
      <c r="S289" s="35"/>
      <c r="T289" s="304">
        <v>80</v>
      </c>
      <c r="V289" s="229">
        <v>300</v>
      </c>
    </row>
    <row r="290" spans="1:22" ht="15.75" customHeight="1">
      <c r="A290" s="193">
        <v>64</v>
      </c>
      <c r="B290" s="186">
        <v>8</v>
      </c>
      <c r="C290" s="132" t="s">
        <v>15</v>
      </c>
      <c r="D290" s="132" t="s">
        <v>17</v>
      </c>
      <c r="E290" s="132">
        <v>97.5</v>
      </c>
      <c r="F290" s="132">
        <v>2.5</v>
      </c>
      <c r="G290" s="23"/>
      <c r="I290" s="132">
        <v>1.23</v>
      </c>
      <c r="J290" s="132" t="s">
        <v>25</v>
      </c>
      <c r="L290" s="132" t="s">
        <v>18</v>
      </c>
      <c r="M290" s="334" t="s">
        <v>688</v>
      </c>
      <c r="N290" s="132" t="s">
        <v>61</v>
      </c>
      <c r="O290" s="132">
        <v>1.25</v>
      </c>
      <c r="P290" s="132" t="s">
        <v>18</v>
      </c>
      <c r="Q290" s="334" t="s">
        <v>687</v>
      </c>
      <c r="R290" s="132" t="s">
        <v>36</v>
      </c>
      <c r="S290" s="35">
        <v>1.25</v>
      </c>
      <c r="T290" s="304">
        <v>97.5</v>
      </c>
      <c r="V290" s="229">
        <v>301</v>
      </c>
    </row>
    <row r="291" spans="1:22" ht="15.75" customHeight="1">
      <c r="A291" s="193">
        <v>64</v>
      </c>
      <c r="B291" s="186">
        <v>9</v>
      </c>
      <c r="C291" s="132" t="s">
        <v>15</v>
      </c>
      <c r="D291" s="132" t="s">
        <v>17</v>
      </c>
      <c r="E291" s="132">
        <v>97.5</v>
      </c>
      <c r="F291" s="132">
        <v>2.5</v>
      </c>
      <c r="G291" s="23"/>
      <c r="I291" s="132">
        <v>1.23</v>
      </c>
      <c r="J291" s="132" t="s">
        <v>25</v>
      </c>
      <c r="L291" s="132" t="s">
        <v>18</v>
      </c>
      <c r="M291" s="334" t="s">
        <v>688</v>
      </c>
      <c r="N291" s="132" t="s">
        <v>61</v>
      </c>
      <c r="O291" s="132">
        <v>2.5</v>
      </c>
      <c r="P291" s="132" t="s">
        <v>18</v>
      </c>
      <c r="Q291" s="334" t="s">
        <v>687</v>
      </c>
      <c r="R291" s="132" t="s">
        <v>36</v>
      </c>
      <c r="S291" s="35">
        <v>2.5</v>
      </c>
      <c r="T291" s="304">
        <v>95</v>
      </c>
      <c r="V291" s="229">
        <v>302</v>
      </c>
    </row>
    <row r="292" spans="1:22" ht="15.75" customHeight="1">
      <c r="A292" s="193">
        <v>64</v>
      </c>
      <c r="B292" s="186">
        <v>10</v>
      </c>
      <c r="C292" s="132" t="s">
        <v>15</v>
      </c>
      <c r="D292" s="132" t="s">
        <v>17</v>
      </c>
      <c r="E292" s="132">
        <v>97.5</v>
      </c>
      <c r="F292" s="132">
        <v>2.5</v>
      </c>
      <c r="G292" s="23"/>
      <c r="I292" s="132">
        <v>1.23</v>
      </c>
      <c r="J292" s="132" t="s">
        <v>25</v>
      </c>
      <c r="L292" s="132" t="s">
        <v>18</v>
      </c>
      <c r="M292" s="334" t="s">
        <v>688</v>
      </c>
      <c r="N292" s="132" t="s">
        <v>61</v>
      </c>
      <c r="O292" s="132">
        <v>3.75</v>
      </c>
      <c r="P292" s="132" t="s">
        <v>18</v>
      </c>
      <c r="Q292" s="334" t="s">
        <v>687</v>
      </c>
      <c r="R292" s="132" t="s">
        <v>36</v>
      </c>
      <c r="S292" s="35">
        <v>3.75</v>
      </c>
      <c r="T292" s="304">
        <v>92.5</v>
      </c>
      <c r="V292" s="229">
        <v>303</v>
      </c>
    </row>
    <row r="293" spans="1:22" ht="15.75" customHeight="1">
      <c r="A293" s="193">
        <v>64</v>
      </c>
      <c r="B293" s="186">
        <v>11</v>
      </c>
      <c r="C293" s="132" t="s">
        <v>15</v>
      </c>
      <c r="D293" s="132" t="s">
        <v>17</v>
      </c>
      <c r="E293" s="132">
        <v>97.5</v>
      </c>
      <c r="F293" s="132">
        <v>2.5</v>
      </c>
      <c r="G293" s="23"/>
      <c r="I293" s="132">
        <v>1.23</v>
      </c>
      <c r="J293" s="132" t="s">
        <v>25</v>
      </c>
      <c r="L293" s="132" t="s">
        <v>18</v>
      </c>
      <c r="M293" s="334" t="s">
        <v>688</v>
      </c>
      <c r="N293" s="132" t="s">
        <v>61</v>
      </c>
      <c r="O293" s="132">
        <v>5</v>
      </c>
      <c r="P293" s="132" t="s">
        <v>18</v>
      </c>
      <c r="Q293" s="334" t="s">
        <v>687</v>
      </c>
      <c r="R293" s="132" t="s">
        <v>36</v>
      </c>
      <c r="S293" s="35">
        <v>5</v>
      </c>
      <c r="T293" s="304">
        <v>90</v>
      </c>
      <c r="V293" s="229">
        <v>304</v>
      </c>
    </row>
    <row r="294" spans="1:22" ht="15.75" customHeight="1">
      <c r="A294" s="193">
        <v>64</v>
      </c>
      <c r="B294" s="186">
        <v>12</v>
      </c>
      <c r="C294" s="132" t="s">
        <v>15</v>
      </c>
      <c r="D294" s="132" t="s">
        <v>17</v>
      </c>
      <c r="E294" s="132">
        <v>97.5</v>
      </c>
      <c r="F294" s="132">
        <v>2.5</v>
      </c>
      <c r="G294" s="23"/>
      <c r="I294" s="132">
        <v>1.23</v>
      </c>
      <c r="J294" s="132" t="s">
        <v>25</v>
      </c>
      <c r="L294" s="132" t="s">
        <v>18</v>
      </c>
      <c r="M294" s="334" t="s">
        <v>688</v>
      </c>
      <c r="N294" s="132" t="s">
        <v>61</v>
      </c>
      <c r="O294" s="132">
        <v>7.5</v>
      </c>
      <c r="P294" s="132" t="s">
        <v>18</v>
      </c>
      <c r="Q294" s="334" t="s">
        <v>687</v>
      </c>
      <c r="R294" s="132" t="s">
        <v>36</v>
      </c>
      <c r="S294" s="35">
        <v>7.5</v>
      </c>
      <c r="T294" s="304">
        <v>85</v>
      </c>
      <c r="V294" s="229">
        <v>305</v>
      </c>
    </row>
    <row r="295" spans="1:22" ht="15.75" customHeight="1" thickBot="1">
      <c r="A295" s="191">
        <v>64</v>
      </c>
      <c r="B295" s="188">
        <v>13</v>
      </c>
      <c r="C295" s="189" t="s">
        <v>15</v>
      </c>
      <c r="D295" s="189" t="s">
        <v>17</v>
      </c>
      <c r="E295" s="189">
        <v>97.5</v>
      </c>
      <c r="F295" s="189">
        <v>2.5</v>
      </c>
      <c r="G295" s="39"/>
      <c r="H295" s="195"/>
      <c r="I295" s="189">
        <v>1.23</v>
      </c>
      <c r="J295" s="189" t="s">
        <v>25</v>
      </c>
      <c r="K295" s="195"/>
      <c r="L295" s="189" t="s">
        <v>18</v>
      </c>
      <c r="M295" s="353" t="s">
        <v>688</v>
      </c>
      <c r="N295" s="189" t="s">
        <v>61</v>
      </c>
      <c r="O295" s="189">
        <v>10</v>
      </c>
      <c r="P295" s="189" t="s">
        <v>18</v>
      </c>
      <c r="Q295" s="352" t="s">
        <v>687</v>
      </c>
      <c r="R295" s="189" t="s">
        <v>36</v>
      </c>
      <c r="S295" s="190">
        <v>10</v>
      </c>
      <c r="T295" s="308">
        <v>80</v>
      </c>
      <c r="V295" s="229">
        <v>306</v>
      </c>
    </row>
    <row r="296" spans="1:22" ht="15.75" customHeight="1">
      <c r="A296" s="193">
        <v>65</v>
      </c>
      <c r="B296" s="186">
        <v>1</v>
      </c>
      <c r="C296" s="132" t="s">
        <v>15</v>
      </c>
      <c r="D296" s="132" t="s">
        <v>17</v>
      </c>
      <c r="E296" s="132">
        <v>100</v>
      </c>
      <c r="F296" s="132">
        <v>0</v>
      </c>
      <c r="G296" s="22">
        <v>440000</v>
      </c>
      <c r="H296" s="132">
        <v>260000</v>
      </c>
      <c r="L296" s="132" t="s">
        <v>16</v>
      </c>
      <c r="N296" s="132"/>
      <c r="O296" s="132"/>
      <c r="P296" s="132" t="s">
        <v>16</v>
      </c>
      <c r="R296" s="35"/>
      <c r="S296" s="35"/>
      <c r="T296" s="304">
        <v>100</v>
      </c>
      <c r="V296" s="229">
        <v>307</v>
      </c>
    </row>
    <row r="297" spans="1:22" ht="15.75" customHeight="1">
      <c r="A297" s="193">
        <v>65</v>
      </c>
      <c r="B297" s="186">
        <v>2</v>
      </c>
      <c r="C297" s="132" t="s">
        <v>15</v>
      </c>
      <c r="D297" s="132" t="s">
        <v>17</v>
      </c>
      <c r="E297" s="132">
        <v>100</v>
      </c>
      <c r="F297" s="132">
        <v>0</v>
      </c>
      <c r="G297" s="22">
        <v>440000</v>
      </c>
      <c r="H297" s="132">
        <v>260000</v>
      </c>
      <c r="L297" s="132" t="s">
        <v>18</v>
      </c>
      <c r="M297" s="334" t="s">
        <v>688</v>
      </c>
      <c r="N297" s="132" t="s">
        <v>26</v>
      </c>
      <c r="O297" s="132">
        <v>10</v>
      </c>
      <c r="P297" s="132" t="s">
        <v>16</v>
      </c>
      <c r="R297" s="35"/>
      <c r="S297" s="35"/>
      <c r="T297" s="304">
        <v>90</v>
      </c>
      <c r="V297" s="229">
        <v>308</v>
      </c>
    </row>
    <row r="298" spans="1:22" ht="15.75" customHeight="1">
      <c r="A298" s="193">
        <v>65</v>
      </c>
      <c r="B298" s="186">
        <v>3</v>
      </c>
      <c r="C298" s="132" t="s">
        <v>15</v>
      </c>
      <c r="D298" s="132" t="s">
        <v>17</v>
      </c>
      <c r="E298" s="132">
        <v>100</v>
      </c>
      <c r="F298" s="132">
        <v>0</v>
      </c>
      <c r="G298" s="22">
        <v>440000</v>
      </c>
      <c r="H298" s="132">
        <v>260000</v>
      </c>
      <c r="L298" s="132" t="s">
        <v>18</v>
      </c>
      <c r="M298" s="334" t="s">
        <v>688</v>
      </c>
      <c r="N298" s="132" t="s">
        <v>26</v>
      </c>
      <c r="O298" s="132">
        <v>20</v>
      </c>
      <c r="P298" s="132" t="s">
        <v>16</v>
      </c>
      <c r="R298" s="35"/>
      <c r="S298" s="35"/>
      <c r="T298" s="304">
        <v>80</v>
      </c>
      <c r="V298" s="229">
        <v>309</v>
      </c>
    </row>
    <row r="299" spans="1:22" ht="15.75" customHeight="1">
      <c r="A299" s="193">
        <v>65</v>
      </c>
      <c r="B299" s="186">
        <v>4</v>
      </c>
      <c r="C299" s="132" t="s">
        <v>15</v>
      </c>
      <c r="D299" s="132" t="s">
        <v>17</v>
      </c>
      <c r="E299" s="132">
        <v>100</v>
      </c>
      <c r="F299" s="132">
        <v>0</v>
      </c>
      <c r="G299" s="22">
        <v>440000</v>
      </c>
      <c r="H299" s="132">
        <v>260000</v>
      </c>
      <c r="L299" s="132" t="s">
        <v>18</v>
      </c>
      <c r="M299" s="334" t="s">
        <v>688</v>
      </c>
      <c r="N299" s="132" t="s">
        <v>26</v>
      </c>
      <c r="O299" s="132">
        <v>40</v>
      </c>
      <c r="P299" s="132" t="s">
        <v>16</v>
      </c>
      <c r="R299" s="35"/>
      <c r="S299" s="35"/>
      <c r="T299" s="304">
        <v>60</v>
      </c>
      <c r="V299" s="229">
        <v>310</v>
      </c>
    </row>
    <row r="300" spans="1:22" ht="15.75" customHeight="1">
      <c r="A300" s="193">
        <v>65</v>
      </c>
      <c r="B300" s="186">
        <v>5</v>
      </c>
      <c r="C300" s="132" t="s">
        <v>15</v>
      </c>
      <c r="D300" s="132" t="s">
        <v>17</v>
      </c>
      <c r="E300" s="132">
        <v>100</v>
      </c>
      <c r="F300" s="132">
        <v>0</v>
      </c>
      <c r="G300" s="22">
        <v>440000</v>
      </c>
      <c r="H300" s="132">
        <v>260000</v>
      </c>
      <c r="L300" s="132" t="s">
        <v>18</v>
      </c>
      <c r="M300" s="334" t="s">
        <v>688</v>
      </c>
      <c r="N300" s="132" t="s">
        <v>26</v>
      </c>
      <c r="O300" s="132">
        <v>50</v>
      </c>
      <c r="P300" s="132" t="s">
        <v>16</v>
      </c>
      <c r="R300" s="35"/>
      <c r="S300" s="35"/>
      <c r="T300" s="304">
        <v>50</v>
      </c>
      <c r="V300" s="229">
        <v>311</v>
      </c>
    </row>
    <row r="301" spans="1:22" ht="15.75" customHeight="1">
      <c r="A301" s="193">
        <v>66</v>
      </c>
      <c r="B301" s="186">
        <v>1</v>
      </c>
      <c r="C301" s="132" t="s">
        <v>15</v>
      </c>
      <c r="D301" s="132" t="s">
        <v>17</v>
      </c>
      <c r="E301" s="132">
        <v>100</v>
      </c>
      <c r="F301" s="132">
        <v>0</v>
      </c>
      <c r="G301" s="17"/>
      <c r="H301" s="35"/>
      <c r="I301" s="35"/>
      <c r="J301" s="35"/>
      <c r="K301" s="35"/>
      <c r="L301" s="132" t="s">
        <v>16</v>
      </c>
      <c r="N301" s="35"/>
      <c r="O301" s="132"/>
      <c r="P301" s="132" t="s">
        <v>16</v>
      </c>
      <c r="R301" s="35"/>
      <c r="S301" s="35"/>
      <c r="T301" s="304">
        <v>100</v>
      </c>
      <c r="V301" s="229">
        <v>316</v>
      </c>
    </row>
    <row r="302" spans="1:22" ht="15.75" customHeight="1">
      <c r="A302" s="193">
        <v>66</v>
      </c>
      <c r="B302" s="186">
        <v>2</v>
      </c>
      <c r="C302" s="132" t="s">
        <v>15</v>
      </c>
      <c r="D302" s="132" t="s">
        <v>17</v>
      </c>
      <c r="E302" s="132">
        <v>100</v>
      </c>
      <c r="F302" s="132">
        <v>0</v>
      </c>
      <c r="G302" s="17"/>
      <c r="H302" s="35"/>
      <c r="I302" s="35"/>
      <c r="J302" s="35"/>
      <c r="K302" s="35"/>
      <c r="L302" s="132" t="s">
        <v>18</v>
      </c>
      <c r="M302" s="334" t="s">
        <v>687</v>
      </c>
      <c r="N302" s="132" t="s">
        <v>62</v>
      </c>
      <c r="O302" s="132">
        <v>3</v>
      </c>
      <c r="P302" s="132" t="s">
        <v>16</v>
      </c>
      <c r="R302" s="35"/>
      <c r="S302" s="35"/>
      <c r="T302" s="304">
        <v>97</v>
      </c>
      <c r="V302" s="229">
        <v>317</v>
      </c>
    </row>
    <row r="303" spans="1:22" ht="15.75" customHeight="1">
      <c r="A303" s="193">
        <v>66</v>
      </c>
      <c r="B303" s="186">
        <v>3</v>
      </c>
      <c r="C303" s="132" t="s">
        <v>15</v>
      </c>
      <c r="D303" s="132" t="s">
        <v>17</v>
      </c>
      <c r="E303" s="132">
        <v>100</v>
      </c>
      <c r="F303" s="132">
        <v>0</v>
      </c>
      <c r="G303" s="17"/>
      <c r="H303" s="35"/>
      <c r="I303" s="35"/>
      <c r="J303" s="35"/>
      <c r="K303" s="35"/>
      <c r="L303" s="132" t="s">
        <v>18</v>
      </c>
      <c r="M303" s="334" t="s">
        <v>687</v>
      </c>
      <c r="N303" s="132" t="s">
        <v>63</v>
      </c>
      <c r="O303" s="132">
        <v>3</v>
      </c>
      <c r="P303" s="132" t="s">
        <v>16</v>
      </c>
      <c r="R303" s="35"/>
      <c r="S303" s="35"/>
      <c r="T303" s="304">
        <v>97</v>
      </c>
      <c r="V303" s="229">
        <v>318</v>
      </c>
    </row>
    <row r="304" spans="1:22" ht="15.75" customHeight="1" thickBot="1">
      <c r="A304" s="191">
        <v>66</v>
      </c>
      <c r="B304" s="188">
        <v>4</v>
      </c>
      <c r="C304" s="189" t="s">
        <v>15</v>
      </c>
      <c r="D304" s="189" t="s">
        <v>17</v>
      </c>
      <c r="E304" s="189">
        <v>100</v>
      </c>
      <c r="F304" s="189">
        <v>0</v>
      </c>
      <c r="G304" s="40"/>
      <c r="H304" s="190"/>
      <c r="I304" s="190"/>
      <c r="J304" s="190"/>
      <c r="K304" s="190"/>
      <c r="L304" s="189" t="s">
        <v>18</v>
      </c>
      <c r="M304" s="353" t="s">
        <v>687</v>
      </c>
      <c r="N304" s="189" t="s">
        <v>64</v>
      </c>
      <c r="O304" s="189">
        <v>3</v>
      </c>
      <c r="P304" s="189" t="s">
        <v>16</v>
      </c>
      <c r="Q304" s="352"/>
      <c r="R304" s="190"/>
      <c r="S304" s="190"/>
      <c r="T304" s="304">
        <v>97</v>
      </c>
      <c r="V304" s="229">
        <v>319</v>
      </c>
    </row>
    <row r="305" spans="1:22" ht="15.75" customHeight="1">
      <c r="A305" s="193">
        <v>67</v>
      </c>
      <c r="B305" s="186">
        <v>1</v>
      </c>
      <c r="C305" s="132" t="s">
        <v>15</v>
      </c>
      <c r="D305" s="132" t="s">
        <v>17</v>
      </c>
      <c r="E305" s="132">
        <v>98</v>
      </c>
      <c r="F305" s="132">
        <v>2</v>
      </c>
      <c r="G305" s="17"/>
      <c r="H305" s="35"/>
      <c r="I305" s="132">
        <v>1.25</v>
      </c>
      <c r="J305" s="132" t="s">
        <v>25</v>
      </c>
      <c r="K305" s="35"/>
      <c r="L305" s="132" t="s">
        <v>16</v>
      </c>
      <c r="N305" s="35"/>
      <c r="O305" s="35"/>
      <c r="P305" s="132" t="s">
        <v>16</v>
      </c>
      <c r="R305" s="35"/>
      <c r="S305" s="35"/>
      <c r="T305" s="309">
        <v>100</v>
      </c>
      <c r="V305" s="229">
        <v>320</v>
      </c>
    </row>
    <row r="306" spans="1:22" ht="15.75" customHeight="1">
      <c r="A306" s="193">
        <v>67</v>
      </c>
      <c r="B306" s="186">
        <v>2</v>
      </c>
      <c r="C306" s="132" t="s">
        <v>15</v>
      </c>
      <c r="D306" s="132" t="s">
        <v>17</v>
      </c>
      <c r="E306" s="132">
        <v>98</v>
      </c>
      <c r="F306" s="132">
        <v>2</v>
      </c>
      <c r="G306" s="17"/>
      <c r="H306" s="35"/>
      <c r="I306" s="132">
        <v>1.25</v>
      </c>
      <c r="J306" s="132" t="s">
        <v>25</v>
      </c>
      <c r="K306" s="35"/>
      <c r="L306" s="132" t="s">
        <v>18</v>
      </c>
      <c r="M306" s="334" t="s">
        <v>688</v>
      </c>
      <c r="N306" s="132" t="s">
        <v>65</v>
      </c>
      <c r="O306" s="132">
        <v>5</v>
      </c>
      <c r="P306" s="132" t="s">
        <v>16</v>
      </c>
      <c r="R306" s="35"/>
      <c r="S306" s="35"/>
      <c r="T306" s="304">
        <v>95</v>
      </c>
      <c r="V306" s="229">
        <v>321</v>
      </c>
    </row>
    <row r="307" spans="1:22" ht="15.75" customHeight="1">
      <c r="A307" s="193">
        <v>67</v>
      </c>
      <c r="B307" s="186">
        <v>3</v>
      </c>
      <c r="C307" s="132" t="s">
        <v>15</v>
      </c>
      <c r="D307" s="132" t="s">
        <v>17</v>
      </c>
      <c r="E307" s="132">
        <v>98</v>
      </c>
      <c r="F307" s="132">
        <v>2</v>
      </c>
      <c r="G307" s="17"/>
      <c r="H307" s="35"/>
      <c r="I307" s="132">
        <v>1.25</v>
      </c>
      <c r="J307" s="132" t="s">
        <v>25</v>
      </c>
      <c r="K307" s="35"/>
      <c r="L307" s="132" t="s">
        <v>18</v>
      </c>
      <c r="M307" s="334" t="s">
        <v>688</v>
      </c>
      <c r="N307" s="132" t="s">
        <v>65</v>
      </c>
      <c r="O307" s="132">
        <v>15</v>
      </c>
      <c r="P307" s="132" t="s">
        <v>16</v>
      </c>
      <c r="R307" s="35"/>
      <c r="S307" s="35"/>
      <c r="T307" s="304">
        <v>85</v>
      </c>
      <c r="V307" s="229">
        <v>322</v>
      </c>
    </row>
    <row r="308" spans="1:22" ht="15.75" customHeight="1">
      <c r="A308" s="193">
        <v>67</v>
      </c>
      <c r="B308" s="186">
        <v>4</v>
      </c>
      <c r="C308" s="132" t="s">
        <v>15</v>
      </c>
      <c r="D308" s="132" t="s">
        <v>17</v>
      </c>
      <c r="E308" s="132">
        <v>98</v>
      </c>
      <c r="F308" s="132">
        <v>2</v>
      </c>
      <c r="G308" s="17"/>
      <c r="H308" s="35"/>
      <c r="I308" s="132">
        <v>1.25</v>
      </c>
      <c r="J308" s="132" t="s">
        <v>25</v>
      </c>
      <c r="K308" s="35"/>
      <c r="L308" s="132" t="s">
        <v>18</v>
      </c>
      <c r="M308" s="334" t="s">
        <v>688</v>
      </c>
      <c r="N308" s="132" t="s">
        <v>65</v>
      </c>
      <c r="O308" s="132">
        <v>30</v>
      </c>
      <c r="P308" s="132" t="s">
        <v>16</v>
      </c>
      <c r="R308" s="35"/>
      <c r="S308" s="35"/>
      <c r="T308" s="304">
        <v>70</v>
      </c>
      <c r="V308" s="229">
        <v>323</v>
      </c>
    </row>
    <row r="309" spans="1:22" ht="15.75" customHeight="1">
      <c r="A309" s="193">
        <v>67</v>
      </c>
      <c r="B309" s="186">
        <v>5</v>
      </c>
      <c r="C309" s="132" t="s">
        <v>15</v>
      </c>
      <c r="D309" s="132" t="s">
        <v>17</v>
      </c>
      <c r="E309" s="132">
        <v>98</v>
      </c>
      <c r="F309" s="132">
        <v>2</v>
      </c>
      <c r="G309" s="17"/>
      <c r="H309" s="35"/>
      <c r="I309" s="132">
        <v>1.25</v>
      </c>
      <c r="J309" s="132" t="s">
        <v>25</v>
      </c>
      <c r="K309" s="35"/>
      <c r="L309" s="132" t="s">
        <v>18</v>
      </c>
      <c r="M309" s="334" t="s">
        <v>688</v>
      </c>
      <c r="N309" s="132" t="s">
        <v>66</v>
      </c>
      <c r="O309" s="132">
        <v>15</v>
      </c>
      <c r="P309" s="132" t="s">
        <v>16</v>
      </c>
      <c r="R309" s="35"/>
      <c r="S309" s="35"/>
      <c r="T309" s="304">
        <v>85</v>
      </c>
      <c r="V309" s="229">
        <v>324</v>
      </c>
    </row>
    <row r="310" spans="1:22" ht="15.75" customHeight="1">
      <c r="A310" s="193">
        <v>67</v>
      </c>
      <c r="B310" s="186">
        <v>6</v>
      </c>
      <c r="C310" s="132" t="s">
        <v>15</v>
      </c>
      <c r="D310" s="132" t="s">
        <v>17</v>
      </c>
      <c r="E310" s="132">
        <v>98</v>
      </c>
      <c r="F310" s="132">
        <v>2</v>
      </c>
      <c r="G310" s="17"/>
      <c r="H310" s="35"/>
      <c r="I310" s="132">
        <v>1.25</v>
      </c>
      <c r="J310" s="132" t="s">
        <v>25</v>
      </c>
      <c r="K310" s="35"/>
      <c r="L310" s="132" t="s">
        <v>18</v>
      </c>
      <c r="M310" s="334" t="s">
        <v>688</v>
      </c>
      <c r="N310" s="132" t="s">
        <v>67</v>
      </c>
      <c r="O310" s="132">
        <v>15</v>
      </c>
      <c r="P310" s="132" t="s">
        <v>16</v>
      </c>
      <c r="R310" s="35"/>
      <c r="S310" s="35"/>
      <c r="T310" s="304">
        <v>85</v>
      </c>
      <c r="V310" s="229">
        <v>325</v>
      </c>
    </row>
    <row r="311" spans="1:22" ht="15.75" customHeight="1">
      <c r="A311" s="193">
        <v>67</v>
      </c>
      <c r="B311" s="186">
        <v>7</v>
      </c>
      <c r="C311" s="132" t="s">
        <v>15</v>
      </c>
      <c r="D311" s="132" t="s">
        <v>17</v>
      </c>
      <c r="E311" s="132">
        <v>98</v>
      </c>
      <c r="F311" s="132">
        <v>2</v>
      </c>
      <c r="G311" s="17"/>
      <c r="H311" s="35"/>
      <c r="I311" s="132">
        <v>1.25</v>
      </c>
      <c r="J311" s="132" t="s">
        <v>25</v>
      </c>
      <c r="K311" s="35"/>
      <c r="L311" s="132" t="s">
        <v>18</v>
      </c>
      <c r="M311" s="334" t="s">
        <v>688</v>
      </c>
      <c r="N311" s="132" t="s">
        <v>68</v>
      </c>
      <c r="O311" s="132">
        <v>15</v>
      </c>
      <c r="P311" s="132" t="s">
        <v>16</v>
      </c>
      <c r="R311" s="35"/>
      <c r="S311" s="35"/>
      <c r="T311" s="304">
        <v>85</v>
      </c>
      <c r="V311" s="229">
        <v>326</v>
      </c>
    </row>
    <row r="312" spans="1:22" ht="15.75" customHeight="1">
      <c r="A312" s="193">
        <v>67</v>
      </c>
      <c r="B312" s="186">
        <v>8</v>
      </c>
      <c r="C312" s="132" t="s">
        <v>15</v>
      </c>
      <c r="D312" s="132" t="s">
        <v>17</v>
      </c>
      <c r="E312" s="132">
        <v>98</v>
      </c>
      <c r="F312" s="132">
        <v>2</v>
      </c>
      <c r="G312" s="17"/>
      <c r="H312" s="35"/>
      <c r="I312" s="132">
        <v>1.25</v>
      </c>
      <c r="J312" s="132" t="s">
        <v>25</v>
      </c>
      <c r="K312" s="35"/>
      <c r="L312" s="132" t="s">
        <v>18</v>
      </c>
      <c r="M312" s="334" t="s">
        <v>688</v>
      </c>
      <c r="N312" s="132" t="s">
        <v>69</v>
      </c>
      <c r="O312" s="132">
        <v>15</v>
      </c>
      <c r="P312" s="132" t="s">
        <v>16</v>
      </c>
      <c r="R312" s="35"/>
      <c r="S312" s="35"/>
      <c r="T312" s="304">
        <v>85</v>
      </c>
      <c r="V312" s="229">
        <v>327</v>
      </c>
    </row>
    <row r="313" spans="1:22" ht="15.75" customHeight="1">
      <c r="A313" s="193">
        <v>67</v>
      </c>
      <c r="B313" s="186">
        <v>9</v>
      </c>
      <c r="C313" s="132" t="s">
        <v>15</v>
      </c>
      <c r="D313" s="132" t="s">
        <v>17</v>
      </c>
      <c r="E313" s="132">
        <v>98</v>
      </c>
      <c r="F313" s="132">
        <v>2</v>
      </c>
      <c r="G313" s="17"/>
      <c r="H313" s="35"/>
      <c r="I313" s="132">
        <v>1.25</v>
      </c>
      <c r="J313" s="132" t="s">
        <v>25</v>
      </c>
      <c r="K313" s="35"/>
      <c r="L313" s="132" t="s">
        <v>18</v>
      </c>
      <c r="M313" s="334" t="s">
        <v>688</v>
      </c>
      <c r="N313" s="132" t="s">
        <v>70</v>
      </c>
      <c r="O313" s="132">
        <v>15</v>
      </c>
      <c r="P313" s="132" t="s">
        <v>16</v>
      </c>
      <c r="R313" s="35"/>
      <c r="S313" s="35"/>
      <c r="T313" s="304">
        <v>85</v>
      </c>
      <c r="V313" s="229">
        <v>328</v>
      </c>
    </row>
    <row r="314" spans="1:22" ht="15.75" customHeight="1" thickBot="1">
      <c r="A314" s="191">
        <v>67</v>
      </c>
      <c r="B314" s="188">
        <v>10</v>
      </c>
      <c r="C314" s="189" t="s">
        <v>15</v>
      </c>
      <c r="D314" s="189" t="s">
        <v>17</v>
      </c>
      <c r="E314" s="189">
        <v>98</v>
      </c>
      <c r="F314" s="189">
        <v>2</v>
      </c>
      <c r="G314" s="40"/>
      <c r="H314" s="190"/>
      <c r="I314" s="189">
        <v>1.25</v>
      </c>
      <c r="J314" s="200" t="s">
        <v>25</v>
      </c>
      <c r="K314" s="190"/>
      <c r="L314" s="189" t="s">
        <v>18</v>
      </c>
      <c r="M314" s="353" t="s">
        <v>688</v>
      </c>
      <c r="N314" s="189" t="s">
        <v>71</v>
      </c>
      <c r="O314" s="189">
        <v>15</v>
      </c>
      <c r="P314" s="189" t="s">
        <v>16</v>
      </c>
      <c r="Q314" s="352"/>
      <c r="R314" s="190"/>
      <c r="S314" s="190"/>
      <c r="T314" s="308">
        <v>85</v>
      </c>
      <c r="V314" s="229">
        <v>329</v>
      </c>
    </row>
    <row r="315" spans="1:22" ht="15.75" customHeight="1">
      <c r="A315" s="296">
        <v>68</v>
      </c>
      <c r="B315" s="186">
        <v>1</v>
      </c>
      <c r="C315" s="132" t="s">
        <v>15</v>
      </c>
      <c r="D315" s="132" t="s">
        <v>17</v>
      </c>
      <c r="E315" s="132">
        <v>92</v>
      </c>
      <c r="F315" s="132">
        <v>8</v>
      </c>
      <c r="G315" s="22">
        <v>296000</v>
      </c>
      <c r="H315" s="35"/>
      <c r="I315" s="35"/>
      <c r="J315" s="35"/>
      <c r="K315" s="35"/>
      <c r="L315" s="132" t="s">
        <v>16</v>
      </c>
      <c r="N315" s="35"/>
      <c r="O315" s="35"/>
      <c r="P315" s="132" t="s">
        <v>16</v>
      </c>
      <c r="R315" s="35"/>
      <c r="S315" s="35"/>
      <c r="T315" s="304">
        <v>100</v>
      </c>
      <c r="V315" s="229">
        <v>330</v>
      </c>
    </row>
    <row r="316" spans="1:22" ht="15.75" customHeight="1">
      <c r="A316" s="193">
        <v>68</v>
      </c>
      <c r="B316" s="186">
        <v>2</v>
      </c>
      <c r="C316" s="132" t="s">
        <v>15</v>
      </c>
      <c r="D316" s="132" t="s">
        <v>17</v>
      </c>
      <c r="E316" s="132">
        <v>92</v>
      </c>
      <c r="F316" s="132">
        <v>8</v>
      </c>
      <c r="G316" s="22">
        <v>296000</v>
      </c>
      <c r="H316" s="35"/>
      <c r="I316" s="35"/>
      <c r="J316" s="35"/>
      <c r="K316" s="35"/>
      <c r="L316" s="132" t="s">
        <v>18</v>
      </c>
      <c r="M316" s="334" t="s">
        <v>689</v>
      </c>
      <c r="N316" s="132" t="s">
        <v>52</v>
      </c>
      <c r="O316" s="132">
        <v>10</v>
      </c>
      <c r="P316" s="132" t="s">
        <v>16</v>
      </c>
      <c r="R316" s="35"/>
      <c r="S316" s="35"/>
      <c r="T316" s="304">
        <v>90</v>
      </c>
      <c r="V316" s="229">
        <v>331</v>
      </c>
    </row>
    <row r="317" spans="1:22" ht="15.75" customHeight="1">
      <c r="A317" s="193">
        <v>68</v>
      </c>
      <c r="B317" s="186">
        <v>3</v>
      </c>
      <c r="C317" s="132" t="s">
        <v>15</v>
      </c>
      <c r="D317" s="132" t="s">
        <v>17</v>
      </c>
      <c r="E317" s="132">
        <v>92</v>
      </c>
      <c r="F317" s="132">
        <v>8</v>
      </c>
      <c r="G317" s="22">
        <v>296000</v>
      </c>
      <c r="H317" s="35"/>
      <c r="I317" s="35"/>
      <c r="J317" s="35"/>
      <c r="K317" s="35"/>
      <c r="L317" s="132" t="s">
        <v>18</v>
      </c>
      <c r="M317" s="334" t="s">
        <v>689</v>
      </c>
      <c r="N317" s="132" t="s">
        <v>52</v>
      </c>
      <c r="O317" s="132">
        <v>30</v>
      </c>
      <c r="P317" s="132" t="s">
        <v>16</v>
      </c>
      <c r="R317" s="35"/>
      <c r="S317" s="35"/>
      <c r="T317" s="304">
        <v>70</v>
      </c>
      <c r="V317" s="229">
        <v>332</v>
      </c>
    </row>
    <row r="318" spans="1:22" ht="15.75" customHeight="1" thickBot="1">
      <c r="A318" s="191">
        <v>68</v>
      </c>
      <c r="B318" s="188">
        <v>4</v>
      </c>
      <c r="C318" s="189" t="s">
        <v>15</v>
      </c>
      <c r="D318" s="189" t="s">
        <v>17</v>
      </c>
      <c r="E318" s="189">
        <v>92</v>
      </c>
      <c r="F318" s="189">
        <v>8</v>
      </c>
      <c r="G318" s="37">
        <v>296000</v>
      </c>
      <c r="H318" s="190"/>
      <c r="I318" s="190"/>
      <c r="J318" s="190"/>
      <c r="K318" s="190"/>
      <c r="L318" s="189" t="s">
        <v>18</v>
      </c>
      <c r="M318" s="353" t="s">
        <v>689</v>
      </c>
      <c r="N318" s="189" t="s">
        <v>52</v>
      </c>
      <c r="O318" s="189">
        <v>50</v>
      </c>
      <c r="P318" s="189" t="s">
        <v>16</v>
      </c>
      <c r="Q318" s="352"/>
      <c r="R318" s="190"/>
      <c r="S318" s="190"/>
      <c r="T318" s="304">
        <v>50</v>
      </c>
      <c r="V318" s="229">
        <v>333</v>
      </c>
    </row>
    <row r="319" spans="1:22" ht="15.75" customHeight="1">
      <c r="A319" s="193">
        <v>69</v>
      </c>
      <c r="B319" s="186">
        <v>1</v>
      </c>
      <c r="C319" s="132" t="s">
        <v>15</v>
      </c>
      <c r="D319" s="132" t="s">
        <v>17</v>
      </c>
      <c r="E319" s="132">
        <v>100</v>
      </c>
      <c r="F319" s="132">
        <v>0</v>
      </c>
      <c r="G319" s="22">
        <v>117869</v>
      </c>
      <c r="H319" s="132">
        <v>49078</v>
      </c>
      <c r="I319" s="35"/>
      <c r="J319" s="35"/>
      <c r="K319" s="35"/>
      <c r="L319" s="132" t="s">
        <v>16</v>
      </c>
      <c r="N319" s="35"/>
      <c r="O319" s="35"/>
      <c r="P319" s="132" t="s">
        <v>16</v>
      </c>
      <c r="R319" s="35"/>
      <c r="S319" s="35"/>
      <c r="T319" s="305">
        <v>100</v>
      </c>
      <c r="V319" s="229">
        <v>334</v>
      </c>
    </row>
    <row r="320" spans="1:22" ht="15.75" customHeight="1">
      <c r="A320" s="193">
        <v>69</v>
      </c>
      <c r="B320" s="186">
        <v>2</v>
      </c>
      <c r="C320" s="132" t="s">
        <v>15</v>
      </c>
      <c r="D320" s="132" t="s">
        <v>17</v>
      </c>
      <c r="E320" s="132">
        <v>100</v>
      </c>
      <c r="F320" s="132">
        <v>0</v>
      </c>
      <c r="G320" s="22">
        <v>117869</v>
      </c>
      <c r="H320" s="132">
        <v>49078</v>
      </c>
      <c r="I320" s="35"/>
      <c r="J320" s="35"/>
      <c r="K320" s="35"/>
      <c r="L320" s="132" t="s">
        <v>18</v>
      </c>
      <c r="M320" s="334" t="s">
        <v>688</v>
      </c>
      <c r="N320" s="132" t="s">
        <v>26</v>
      </c>
      <c r="O320" s="132">
        <v>5</v>
      </c>
      <c r="P320" s="132" t="s">
        <v>16</v>
      </c>
      <c r="R320" s="35"/>
      <c r="S320" s="35"/>
      <c r="T320" s="304">
        <v>95</v>
      </c>
      <c r="V320" s="229">
        <v>335</v>
      </c>
    </row>
    <row r="321" spans="1:22" ht="15.75" customHeight="1">
      <c r="A321" s="193">
        <v>69</v>
      </c>
      <c r="B321" s="186">
        <v>3</v>
      </c>
      <c r="C321" s="132" t="s">
        <v>15</v>
      </c>
      <c r="D321" s="132" t="s">
        <v>17</v>
      </c>
      <c r="E321" s="132">
        <v>100</v>
      </c>
      <c r="F321" s="132">
        <v>0</v>
      </c>
      <c r="G321" s="22">
        <v>117869</v>
      </c>
      <c r="H321" s="132">
        <v>49078</v>
      </c>
      <c r="I321" s="35"/>
      <c r="J321" s="35"/>
      <c r="K321" s="35"/>
      <c r="L321" s="132" t="s">
        <v>18</v>
      </c>
      <c r="M321" s="334" t="s">
        <v>688</v>
      </c>
      <c r="N321" s="132" t="s">
        <v>26</v>
      </c>
      <c r="O321" s="132">
        <v>7</v>
      </c>
      <c r="P321" s="132" t="s">
        <v>16</v>
      </c>
      <c r="R321" s="35"/>
      <c r="S321" s="35"/>
      <c r="T321" s="304">
        <v>93</v>
      </c>
      <c r="V321" s="229">
        <v>336</v>
      </c>
    </row>
    <row r="322" spans="1:22" ht="15.75" customHeight="1" thickBot="1">
      <c r="A322" s="191">
        <v>69</v>
      </c>
      <c r="B322" s="188">
        <v>4</v>
      </c>
      <c r="C322" s="189" t="s">
        <v>15</v>
      </c>
      <c r="D322" s="189" t="s">
        <v>17</v>
      </c>
      <c r="E322" s="189">
        <v>100</v>
      </c>
      <c r="F322" s="189">
        <v>0</v>
      </c>
      <c r="G322" s="37">
        <v>117869</v>
      </c>
      <c r="H322" s="189">
        <v>49078</v>
      </c>
      <c r="I322" s="190"/>
      <c r="J322" s="190"/>
      <c r="K322" s="190"/>
      <c r="L322" s="189" t="s">
        <v>18</v>
      </c>
      <c r="M322" s="353" t="s">
        <v>688</v>
      </c>
      <c r="N322" s="189" t="s">
        <v>26</v>
      </c>
      <c r="O322" s="189">
        <v>9</v>
      </c>
      <c r="P322" s="189" t="s">
        <v>16</v>
      </c>
      <c r="Q322" s="352"/>
      <c r="R322" s="190"/>
      <c r="S322" s="190"/>
      <c r="T322" s="308">
        <v>91</v>
      </c>
      <c r="V322" s="229">
        <v>337</v>
      </c>
    </row>
    <row r="323" spans="1:22" ht="15.75" customHeight="1">
      <c r="A323" s="193">
        <v>70</v>
      </c>
      <c r="B323" s="186">
        <v>1</v>
      </c>
      <c r="C323" s="132" t="s">
        <v>15</v>
      </c>
      <c r="D323" s="132" t="s">
        <v>17</v>
      </c>
      <c r="E323" s="132">
        <v>98</v>
      </c>
      <c r="F323" s="132">
        <v>2</v>
      </c>
      <c r="G323" s="17"/>
      <c r="H323" s="35"/>
      <c r="I323" s="35"/>
      <c r="J323" s="35"/>
      <c r="K323" s="35"/>
      <c r="L323" s="132" t="s">
        <v>16</v>
      </c>
      <c r="N323" s="35"/>
      <c r="O323" s="35"/>
      <c r="P323" s="132" t="s">
        <v>16</v>
      </c>
      <c r="R323" s="35"/>
      <c r="S323" s="35"/>
      <c r="T323" s="304">
        <v>100</v>
      </c>
      <c r="V323" s="229">
        <v>338</v>
      </c>
    </row>
    <row r="324" spans="1:22" ht="15.75" customHeight="1">
      <c r="A324" s="193">
        <v>70</v>
      </c>
      <c r="B324" s="186">
        <v>2</v>
      </c>
      <c r="C324" s="132" t="s">
        <v>15</v>
      </c>
      <c r="D324" s="132" t="s">
        <v>17</v>
      </c>
      <c r="E324" s="132">
        <v>98</v>
      </c>
      <c r="F324" s="132">
        <v>2</v>
      </c>
      <c r="G324" s="17"/>
      <c r="H324" s="35"/>
      <c r="I324" s="35"/>
      <c r="J324" s="35"/>
      <c r="K324" s="35"/>
      <c r="L324" s="132" t="s">
        <v>18</v>
      </c>
      <c r="M324" s="334" t="s">
        <v>688</v>
      </c>
      <c r="N324" s="132" t="s">
        <v>72</v>
      </c>
      <c r="O324" s="132">
        <v>3</v>
      </c>
      <c r="P324" s="132" t="s">
        <v>16</v>
      </c>
      <c r="R324" s="35"/>
      <c r="S324" s="35"/>
      <c r="T324" s="304">
        <v>100</v>
      </c>
      <c r="V324" s="229">
        <v>339</v>
      </c>
    </row>
    <row r="325" spans="1:22" ht="15.75" customHeight="1">
      <c r="A325" s="193">
        <v>70</v>
      </c>
      <c r="B325" s="186">
        <v>3</v>
      </c>
      <c r="C325" s="132" t="s">
        <v>15</v>
      </c>
      <c r="D325" s="132" t="s">
        <v>17</v>
      </c>
      <c r="E325" s="132">
        <v>98</v>
      </c>
      <c r="F325" s="132">
        <v>2</v>
      </c>
      <c r="G325" s="17"/>
      <c r="H325" s="35"/>
      <c r="I325" s="35"/>
      <c r="J325" s="35"/>
      <c r="K325" s="35"/>
      <c r="L325" s="132" t="s">
        <v>18</v>
      </c>
      <c r="M325" s="334" t="s">
        <v>688</v>
      </c>
      <c r="N325" s="132" t="s">
        <v>72</v>
      </c>
      <c r="O325" s="132">
        <v>9</v>
      </c>
      <c r="P325" s="132" t="s">
        <v>16</v>
      </c>
      <c r="R325" s="35"/>
      <c r="S325" s="35"/>
      <c r="T325" s="304">
        <v>100</v>
      </c>
      <c r="V325" s="229">
        <v>340</v>
      </c>
    </row>
    <row r="326" spans="1:22" ht="15.75" customHeight="1">
      <c r="A326" s="193">
        <v>70</v>
      </c>
      <c r="B326" s="186">
        <v>4</v>
      </c>
      <c r="C326" s="132" t="s">
        <v>15</v>
      </c>
      <c r="D326" s="132" t="s">
        <v>17</v>
      </c>
      <c r="E326" s="132">
        <v>98</v>
      </c>
      <c r="F326" s="132">
        <v>2</v>
      </c>
      <c r="G326" s="17"/>
      <c r="H326" s="35"/>
      <c r="I326" s="35"/>
      <c r="J326" s="35"/>
      <c r="K326" s="35"/>
      <c r="L326" s="132" t="s">
        <v>18</v>
      </c>
      <c r="M326" s="334" t="s">
        <v>688</v>
      </c>
      <c r="N326" s="132" t="s">
        <v>72</v>
      </c>
      <c r="O326" s="132">
        <v>18</v>
      </c>
      <c r="P326" s="132" t="s">
        <v>16</v>
      </c>
      <c r="R326" s="35"/>
      <c r="S326" s="35"/>
      <c r="T326" s="304">
        <v>100</v>
      </c>
      <c r="V326" s="229">
        <v>341</v>
      </c>
    </row>
    <row r="327" spans="1:22" ht="15.75" customHeight="1">
      <c r="A327" s="193">
        <v>70</v>
      </c>
      <c r="B327" s="186">
        <v>5</v>
      </c>
      <c r="C327" s="132" t="s">
        <v>15</v>
      </c>
      <c r="D327" s="132" t="s">
        <v>17</v>
      </c>
      <c r="E327" s="132">
        <v>98</v>
      </c>
      <c r="F327" s="132">
        <v>2</v>
      </c>
      <c r="G327" s="17"/>
      <c r="H327" s="35"/>
      <c r="I327" s="35"/>
      <c r="J327" s="35"/>
      <c r="K327" s="35"/>
      <c r="L327" s="132" t="s">
        <v>18</v>
      </c>
      <c r="M327" s="334" t="s">
        <v>688</v>
      </c>
      <c r="N327" s="132" t="s">
        <v>73</v>
      </c>
      <c r="O327" s="132">
        <v>3</v>
      </c>
      <c r="P327" s="132" t="s">
        <v>16</v>
      </c>
      <c r="R327" s="35"/>
      <c r="S327" s="35"/>
      <c r="T327" s="304">
        <v>100</v>
      </c>
      <c r="V327" s="229">
        <v>342</v>
      </c>
    </row>
    <row r="328" spans="1:22" ht="15.75" customHeight="1">
      <c r="A328" s="193">
        <v>70</v>
      </c>
      <c r="B328" s="186">
        <v>6</v>
      </c>
      <c r="C328" s="132" t="s">
        <v>15</v>
      </c>
      <c r="D328" s="132" t="s">
        <v>17</v>
      </c>
      <c r="E328" s="132">
        <v>98</v>
      </c>
      <c r="F328" s="132">
        <v>2</v>
      </c>
      <c r="G328" s="17"/>
      <c r="H328" s="35"/>
      <c r="I328" s="35"/>
      <c r="J328" s="35"/>
      <c r="K328" s="35"/>
      <c r="L328" s="132" t="s">
        <v>18</v>
      </c>
      <c r="M328" s="334" t="s">
        <v>688</v>
      </c>
      <c r="N328" s="132" t="s">
        <v>73</v>
      </c>
      <c r="O328" s="132">
        <v>9</v>
      </c>
      <c r="P328" s="132" t="s">
        <v>16</v>
      </c>
      <c r="R328" s="35"/>
      <c r="S328" s="35"/>
      <c r="T328" s="304">
        <v>100</v>
      </c>
      <c r="V328" s="229">
        <v>343</v>
      </c>
    </row>
    <row r="329" spans="1:22" ht="15.75" customHeight="1" thickBot="1">
      <c r="A329" s="191">
        <v>70</v>
      </c>
      <c r="B329" s="188">
        <v>7</v>
      </c>
      <c r="C329" s="189" t="s">
        <v>15</v>
      </c>
      <c r="D329" s="189" t="s">
        <v>17</v>
      </c>
      <c r="E329" s="189">
        <v>98</v>
      </c>
      <c r="F329" s="189">
        <v>2</v>
      </c>
      <c r="G329" s="40"/>
      <c r="H329" s="190"/>
      <c r="I329" s="190"/>
      <c r="J329" s="190"/>
      <c r="K329" s="190"/>
      <c r="L329" s="189" t="s">
        <v>18</v>
      </c>
      <c r="M329" s="353" t="s">
        <v>688</v>
      </c>
      <c r="N329" s="189" t="s">
        <v>73</v>
      </c>
      <c r="O329" s="189">
        <v>18</v>
      </c>
      <c r="P329" s="189" t="s">
        <v>16</v>
      </c>
      <c r="Q329" s="352"/>
      <c r="R329" s="190"/>
      <c r="S329" s="190"/>
      <c r="T329" s="308">
        <v>100</v>
      </c>
      <c r="V329" s="229">
        <v>344</v>
      </c>
    </row>
    <row r="330" spans="1:22" ht="15.75" customHeight="1">
      <c r="A330" s="193">
        <v>71</v>
      </c>
      <c r="B330" s="186">
        <v>1</v>
      </c>
      <c r="C330" s="132" t="s">
        <v>15</v>
      </c>
      <c r="D330" s="132" t="s">
        <v>17</v>
      </c>
      <c r="E330" s="132">
        <v>92</v>
      </c>
      <c r="F330" s="132">
        <v>8</v>
      </c>
      <c r="G330" s="22">
        <v>443000</v>
      </c>
      <c r="H330" s="35"/>
      <c r="I330" s="35"/>
      <c r="J330" s="35"/>
      <c r="K330" s="35"/>
      <c r="L330" s="132" t="s">
        <v>16</v>
      </c>
      <c r="N330" s="35"/>
      <c r="O330" s="35"/>
      <c r="P330" s="132" t="s">
        <v>16</v>
      </c>
      <c r="R330" s="35"/>
      <c r="S330" s="35"/>
      <c r="T330" s="309">
        <v>100</v>
      </c>
      <c r="V330" s="229">
        <v>345</v>
      </c>
    </row>
    <row r="331" spans="1:22" ht="15.75" customHeight="1">
      <c r="A331" s="193">
        <v>71</v>
      </c>
      <c r="B331" s="186">
        <v>2</v>
      </c>
      <c r="C331" s="132" t="s">
        <v>15</v>
      </c>
      <c r="D331" s="132" t="s">
        <v>17</v>
      </c>
      <c r="E331" s="132">
        <v>92</v>
      </c>
      <c r="F331" s="132">
        <v>8</v>
      </c>
      <c r="G331" s="22">
        <v>443000</v>
      </c>
      <c r="H331" s="35"/>
      <c r="I331" s="35"/>
      <c r="J331" s="35"/>
      <c r="K331" s="35"/>
      <c r="L331" s="132" t="s">
        <v>18</v>
      </c>
      <c r="M331" s="334" t="s">
        <v>688</v>
      </c>
      <c r="N331" s="132" t="s">
        <v>46</v>
      </c>
      <c r="O331" s="132">
        <v>0.5</v>
      </c>
      <c r="P331" s="132" t="s">
        <v>16</v>
      </c>
      <c r="R331" s="35"/>
      <c r="S331" s="35"/>
      <c r="T331" s="304">
        <v>99.5</v>
      </c>
      <c r="V331" s="229">
        <v>346</v>
      </c>
    </row>
    <row r="332" spans="1:22" ht="15.75" customHeight="1">
      <c r="A332" s="193">
        <v>71</v>
      </c>
      <c r="B332" s="186">
        <v>3</v>
      </c>
      <c r="C332" s="132" t="s">
        <v>15</v>
      </c>
      <c r="D332" s="132" t="s">
        <v>17</v>
      </c>
      <c r="E332" s="132">
        <v>92</v>
      </c>
      <c r="F332" s="132">
        <v>8</v>
      </c>
      <c r="G332" s="22">
        <v>443000</v>
      </c>
      <c r="H332" s="35"/>
      <c r="I332" s="35"/>
      <c r="J332" s="35"/>
      <c r="K332" s="35"/>
      <c r="L332" s="132" t="s">
        <v>18</v>
      </c>
      <c r="M332" s="334" t="s">
        <v>688</v>
      </c>
      <c r="N332" s="132" t="s">
        <v>26</v>
      </c>
      <c r="O332" s="132">
        <v>10</v>
      </c>
      <c r="P332" s="132" t="s">
        <v>16</v>
      </c>
      <c r="R332" s="35"/>
      <c r="S332" s="35"/>
      <c r="T332" s="304">
        <v>90</v>
      </c>
      <c r="V332" s="229">
        <v>347</v>
      </c>
    </row>
    <row r="333" spans="1:22" ht="15.75" customHeight="1">
      <c r="A333" s="193">
        <v>71</v>
      </c>
      <c r="B333" s="186">
        <v>4</v>
      </c>
      <c r="C333" s="132" t="s">
        <v>15</v>
      </c>
      <c r="D333" s="132" t="s">
        <v>17</v>
      </c>
      <c r="E333" s="132">
        <v>92</v>
      </c>
      <c r="F333" s="132">
        <v>8</v>
      </c>
      <c r="G333" s="22">
        <v>443000</v>
      </c>
      <c r="H333" s="35"/>
      <c r="I333" s="35"/>
      <c r="J333" s="35"/>
      <c r="K333" s="35"/>
      <c r="L333" s="132" t="s">
        <v>18</v>
      </c>
      <c r="M333" s="334" t="s">
        <v>688</v>
      </c>
      <c r="N333" s="132" t="s">
        <v>46</v>
      </c>
      <c r="O333" s="132">
        <v>1</v>
      </c>
      <c r="P333" s="132" t="s">
        <v>18</v>
      </c>
      <c r="Q333" s="334" t="s">
        <v>688</v>
      </c>
      <c r="R333" s="132" t="s">
        <v>26</v>
      </c>
      <c r="S333" s="132">
        <v>10</v>
      </c>
      <c r="T333" s="304">
        <v>89</v>
      </c>
      <c r="V333" s="229">
        <v>348</v>
      </c>
    </row>
    <row r="334" spans="1:22" ht="15.75" customHeight="1">
      <c r="A334" s="193">
        <v>71</v>
      </c>
      <c r="B334" s="186">
        <v>5</v>
      </c>
      <c r="C334" s="132" t="s">
        <v>15</v>
      </c>
      <c r="D334" s="132" t="s">
        <v>17</v>
      </c>
      <c r="E334" s="132">
        <v>92</v>
      </c>
      <c r="F334" s="132">
        <v>8</v>
      </c>
      <c r="G334" s="22">
        <v>443000</v>
      </c>
      <c r="H334" s="35"/>
      <c r="I334" s="35"/>
      <c r="J334" s="35"/>
      <c r="K334" s="35"/>
      <c r="L334" s="132" t="s">
        <v>18</v>
      </c>
      <c r="M334" s="334" t="s">
        <v>688</v>
      </c>
      <c r="N334" s="132" t="s">
        <v>46</v>
      </c>
      <c r="O334" s="132">
        <v>1.5</v>
      </c>
      <c r="P334" s="132" t="s">
        <v>18</v>
      </c>
      <c r="Q334" s="334" t="s">
        <v>688</v>
      </c>
      <c r="R334" s="132" t="s">
        <v>26</v>
      </c>
      <c r="S334" s="132">
        <v>10</v>
      </c>
      <c r="T334" s="304">
        <v>88.5</v>
      </c>
      <c r="V334" s="229">
        <v>349</v>
      </c>
    </row>
    <row r="335" spans="1:22" ht="15.75" customHeight="1">
      <c r="A335" s="193">
        <v>71</v>
      </c>
      <c r="B335" s="186">
        <v>6</v>
      </c>
      <c r="C335" s="132" t="s">
        <v>15</v>
      </c>
      <c r="D335" s="132" t="s">
        <v>17</v>
      </c>
      <c r="E335" s="132">
        <v>92</v>
      </c>
      <c r="F335" s="132">
        <v>8</v>
      </c>
      <c r="G335" s="22">
        <v>443000</v>
      </c>
      <c r="H335" s="35"/>
      <c r="I335" s="35"/>
      <c r="J335" s="35"/>
      <c r="K335" s="35"/>
      <c r="L335" s="132" t="s">
        <v>18</v>
      </c>
      <c r="M335" s="334" t="s">
        <v>688</v>
      </c>
      <c r="N335" s="132" t="s">
        <v>46</v>
      </c>
      <c r="O335" s="132">
        <v>2</v>
      </c>
      <c r="P335" s="132" t="s">
        <v>18</v>
      </c>
      <c r="Q335" s="334" t="s">
        <v>688</v>
      </c>
      <c r="R335" s="132" t="s">
        <v>26</v>
      </c>
      <c r="S335" s="132">
        <v>10</v>
      </c>
      <c r="T335" s="304">
        <v>88</v>
      </c>
      <c r="V335" s="229">
        <v>350</v>
      </c>
    </row>
    <row r="336" spans="1:22" ht="15.75" customHeight="1" thickBot="1">
      <c r="A336" s="191">
        <v>71</v>
      </c>
      <c r="B336" s="188">
        <v>7</v>
      </c>
      <c r="C336" s="189" t="s">
        <v>15</v>
      </c>
      <c r="D336" s="189" t="s">
        <v>17</v>
      </c>
      <c r="E336" s="189">
        <v>92</v>
      </c>
      <c r="F336" s="189">
        <v>8</v>
      </c>
      <c r="G336" s="37">
        <v>443000</v>
      </c>
      <c r="H336" s="190"/>
      <c r="I336" s="190"/>
      <c r="J336" s="190"/>
      <c r="K336" s="190"/>
      <c r="L336" s="189" t="s">
        <v>18</v>
      </c>
      <c r="M336" s="352" t="s">
        <v>688</v>
      </c>
      <c r="N336" s="189" t="s">
        <v>46</v>
      </c>
      <c r="O336" s="189">
        <v>3</v>
      </c>
      <c r="P336" s="189" t="s">
        <v>18</v>
      </c>
      <c r="Q336" s="352" t="s">
        <v>688</v>
      </c>
      <c r="R336" s="189" t="s">
        <v>26</v>
      </c>
      <c r="S336" s="189">
        <v>10</v>
      </c>
      <c r="T336" s="308">
        <v>87</v>
      </c>
      <c r="V336" s="229">
        <v>351</v>
      </c>
    </row>
    <row r="337" spans="1:22" ht="15.75" customHeight="1">
      <c r="A337" s="193">
        <v>72</v>
      </c>
      <c r="B337" s="186">
        <v>1</v>
      </c>
      <c r="C337" s="132" t="s">
        <v>15</v>
      </c>
      <c r="D337" s="132" t="s">
        <v>17</v>
      </c>
      <c r="E337" s="132">
        <v>100</v>
      </c>
      <c r="F337" s="132">
        <v>0</v>
      </c>
      <c r="G337" s="22">
        <v>550000</v>
      </c>
      <c r="H337" s="35"/>
      <c r="I337" s="35"/>
      <c r="J337" s="35"/>
      <c r="K337" s="35"/>
      <c r="L337" s="132" t="s">
        <v>16</v>
      </c>
      <c r="N337" s="35"/>
      <c r="O337" s="35"/>
      <c r="P337" s="132" t="s">
        <v>16</v>
      </c>
      <c r="R337" s="35"/>
      <c r="S337" s="35"/>
      <c r="T337" s="304">
        <v>100</v>
      </c>
      <c r="V337" s="229">
        <v>352</v>
      </c>
    </row>
    <row r="338" spans="1:22" ht="15.75" customHeight="1">
      <c r="A338" s="193">
        <v>72</v>
      </c>
      <c r="B338" s="186">
        <v>2</v>
      </c>
      <c r="C338" s="132" t="s">
        <v>15</v>
      </c>
      <c r="D338" s="132" t="s">
        <v>17</v>
      </c>
      <c r="E338" s="132">
        <v>100</v>
      </c>
      <c r="F338" s="132">
        <v>0</v>
      </c>
      <c r="G338" s="22">
        <v>550000</v>
      </c>
      <c r="H338" s="35"/>
      <c r="I338" s="35"/>
      <c r="J338" s="35"/>
      <c r="K338" s="35"/>
      <c r="L338" s="132" t="s">
        <v>18</v>
      </c>
      <c r="M338" s="334" t="s">
        <v>689</v>
      </c>
      <c r="N338" s="132" t="s">
        <v>74</v>
      </c>
      <c r="O338" s="132">
        <v>10</v>
      </c>
      <c r="P338" s="132" t="s">
        <v>16</v>
      </c>
      <c r="R338" s="35"/>
      <c r="S338" s="35"/>
      <c r="T338" s="304">
        <v>90</v>
      </c>
      <c r="V338" s="229">
        <v>353</v>
      </c>
    </row>
    <row r="339" spans="1:22" ht="15.75" customHeight="1">
      <c r="A339" s="193">
        <v>72</v>
      </c>
      <c r="B339" s="186">
        <v>3</v>
      </c>
      <c r="C339" s="132" t="s">
        <v>15</v>
      </c>
      <c r="D339" s="132" t="s">
        <v>17</v>
      </c>
      <c r="E339" s="132">
        <v>100</v>
      </c>
      <c r="F339" s="132">
        <v>0</v>
      </c>
      <c r="G339" s="22">
        <v>550000</v>
      </c>
      <c r="H339" s="35"/>
      <c r="I339" s="35"/>
      <c r="J339" s="35"/>
      <c r="K339" s="35"/>
      <c r="L339" s="132" t="s">
        <v>18</v>
      </c>
      <c r="M339" s="334" t="s">
        <v>689</v>
      </c>
      <c r="N339" s="132" t="s">
        <v>74</v>
      </c>
      <c r="O339" s="132">
        <v>20</v>
      </c>
      <c r="P339" s="132" t="s">
        <v>16</v>
      </c>
      <c r="R339" s="35"/>
      <c r="S339" s="35"/>
      <c r="T339" s="304">
        <v>80</v>
      </c>
      <c r="V339" s="229">
        <v>354</v>
      </c>
    </row>
    <row r="340" spans="1:22" ht="15.75" customHeight="1">
      <c r="A340" s="193">
        <v>72</v>
      </c>
      <c r="B340" s="186">
        <v>4</v>
      </c>
      <c r="C340" s="132" t="s">
        <v>15</v>
      </c>
      <c r="D340" s="132" t="s">
        <v>17</v>
      </c>
      <c r="E340" s="132">
        <v>100</v>
      </c>
      <c r="F340" s="132">
        <v>0</v>
      </c>
      <c r="G340" s="22">
        <v>550000</v>
      </c>
      <c r="H340" s="35"/>
      <c r="I340" s="35"/>
      <c r="J340" s="35"/>
      <c r="K340" s="35"/>
      <c r="L340" s="132" t="s">
        <v>18</v>
      </c>
      <c r="M340" s="334" t="s">
        <v>688</v>
      </c>
      <c r="N340" s="132" t="s">
        <v>75</v>
      </c>
      <c r="O340" s="132">
        <v>5</v>
      </c>
      <c r="P340" s="132" t="s">
        <v>16</v>
      </c>
      <c r="R340" s="35"/>
      <c r="S340" s="132"/>
      <c r="T340" s="304">
        <v>95</v>
      </c>
      <c r="V340" s="229">
        <v>355</v>
      </c>
    </row>
    <row r="341" spans="1:22" ht="15.75" customHeight="1" thickBot="1">
      <c r="A341" s="191">
        <v>72</v>
      </c>
      <c r="B341" s="188">
        <v>5</v>
      </c>
      <c r="C341" s="189" t="s">
        <v>15</v>
      </c>
      <c r="D341" s="189" t="s">
        <v>17</v>
      </c>
      <c r="E341" s="189">
        <v>100</v>
      </c>
      <c r="F341" s="189">
        <v>0</v>
      </c>
      <c r="G341" s="37">
        <v>550000</v>
      </c>
      <c r="H341" s="190"/>
      <c r="I341" s="190"/>
      <c r="J341" s="190"/>
      <c r="K341" s="190"/>
      <c r="L341" s="189" t="s">
        <v>18</v>
      </c>
      <c r="M341" s="353" t="s">
        <v>689</v>
      </c>
      <c r="N341" s="200" t="s">
        <v>74</v>
      </c>
      <c r="O341" s="189">
        <v>10</v>
      </c>
      <c r="P341" s="189" t="s">
        <v>18</v>
      </c>
      <c r="Q341" s="352" t="s">
        <v>688</v>
      </c>
      <c r="R341" s="189" t="s">
        <v>75</v>
      </c>
      <c r="S341" s="189">
        <v>5</v>
      </c>
      <c r="T341" s="304">
        <v>85</v>
      </c>
      <c r="V341" s="229">
        <v>356</v>
      </c>
    </row>
    <row r="342" spans="1:22" ht="15.75" customHeight="1">
      <c r="A342" s="193">
        <v>73</v>
      </c>
      <c r="B342" s="186">
        <v>1</v>
      </c>
      <c r="C342" s="132" t="s">
        <v>15</v>
      </c>
      <c r="D342" s="132" t="s">
        <v>17</v>
      </c>
      <c r="E342" s="132">
        <v>100</v>
      </c>
      <c r="F342" s="132">
        <v>0</v>
      </c>
      <c r="G342" s="17"/>
      <c r="H342" s="35"/>
      <c r="I342" s="35"/>
      <c r="J342" s="35"/>
      <c r="K342" s="35"/>
      <c r="L342" s="132" t="s">
        <v>18</v>
      </c>
      <c r="M342" s="334" t="s">
        <v>688</v>
      </c>
      <c r="N342" s="132" t="s">
        <v>26</v>
      </c>
      <c r="O342" s="132">
        <v>10</v>
      </c>
      <c r="P342" s="132" t="s">
        <v>16</v>
      </c>
      <c r="R342" s="35"/>
      <c r="S342" s="35"/>
      <c r="T342" s="309">
        <v>90</v>
      </c>
      <c r="V342" s="229">
        <v>357</v>
      </c>
    </row>
    <row r="343" spans="1:22" ht="15.75" customHeight="1">
      <c r="A343" s="193">
        <v>73</v>
      </c>
      <c r="B343" s="186">
        <v>2</v>
      </c>
      <c r="C343" s="132" t="s">
        <v>15</v>
      </c>
      <c r="D343" s="132" t="s">
        <v>17</v>
      </c>
      <c r="E343" s="132">
        <v>100</v>
      </c>
      <c r="F343" s="132">
        <v>0</v>
      </c>
      <c r="G343" s="17"/>
      <c r="H343" s="35"/>
      <c r="I343" s="35"/>
      <c r="J343" s="35"/>
      <c r="K343" s="35"/>
      <c r="L343" s="132" t="s">
        <v>18</v>
      </c>
      <c r="M343" s="334" t="s">
        <v>688</v>
      </c>
      <c r="N343" s="132" t="s">
        <v>26</v>
      </c>
      <c r="O343" s="132">
        <v>20</v>
      </c>
      <c r="P343" s="132" t="s">
        <v>16</v>
      </c>
      <c r="R343" s="35"/>
      <c r="S343" s="35"/>
      <c r="T343" s="304">
        <v>80</v>
      </c>
      <c r="V343" s="229">
        <v>358</v>
      </c>
    </row>
    <row r="344" spans="1:22" ht="15.75" customHeight="1">
      <c r="A344" s="193">
        <v>73</v>
      </c>
      <c r="B344" s="186">
        <v>3</v>
      </c>
      <c r="C344" s="132" t="s">
        <v>15</v>
      </c>
      <c r="D344" s="132" t="s">
        <v>17</v>
      </c>
      <c r="E344" s="132">
        <v>100</v>
      </c>
      <c r="F344" s="132">
        <v>0</v>
      </c>
      <c r="G344" s="17"/>
      <c r="H344" s="35"/>
      <c r="I344" s="35"/>
      <c r="J344" s="35"/>
      <c r="K344" s="35"/>
      <c r="L344" s="132" t="s">
        <v>18</v>
      </c>
      <c r="M344" s="334" t="s">
        <v>688</v>
      </c>
      <c r="N344" s="132" t="s">
        <v>26</v>
      </c>
      <c r="O344" s="132">
        <v>30</v>
      </c>
      <c r="P344" s="132" t="s">
        <v>16</v>
      </c>
      <c r="R344" s="35"/>
      <c r="S344" s="35"/>
      <c r="T344" s="304">
        <v>70</v>
      </c>
      <c r="V344" s="229">
        <v>359</v>
      </c>
    </row>
    <row r="345" spans="1:22" ht="15.75" customHeight="1">
      <c r="A345" s="193">
        <v>73</v>
      </c>
      <c r="B345" s="186">
        <v>4</v>
      </c>
      <c r="C345" s="132" t="s">
        <v>15</v>
      </c>
      <c r="D345" s="132" t="s">
        <v>17</v>
      </c>
      <c r="E345" s="132">
        <v>100</v>
      </c>
      <c r="F345" s="132">
        <v>0</v>
      </c>
      <c r="G345" s="17"/>
      <c r="H345" s="35"/>
      <c r="I345" s="35"/>
      <c r="J345" s="35"/>
      <c r="K345" s="35"/>
      <c r="L345" s="132" t="s">
        <v>18</v>
      </c>
      <c r="M345" s="334" t="s">
        <v>688</v>
      </c>
      <c r="N345" s="132" t="s">
        <v>76</v>
      </c>
      <c r="O345" s="132">
        <v>10</v>
      </c>
      <c r="P345" s="132" t="s">
        <v>16</v>
      </c>
      <c r="R345" s="35"/>
      <c r="S345" s="35"/>
      <c r="T345" s="304">
        <v>90</v>
      </c>
      <c r="V345" s="229">
        <v>360</v>
      </c>
    </row>
    <row r="346" spans="1:22" ht="15.75" customHeight="1">
      <c r="A346" s="193">
        <v>73</v>
      </c>
      <c r="B346" s="186">
        <v>5</v>
      </c>
      <c r="C346" s="132" t="s">
        <v>15</v>
      </c>
      <c r="D346" s="132" t="s">
        <v>17</v>
      </c>
      <c r="E346" s="132">
        <v>100</v>
      </c>
      <c r="F346" s="132">
        <v>0</v>
      </c>
      <c r="G346" s="17"/>
      <c r="H346" s="35"/>
      <c r="I346" s="35"/>
      <c r="J346" s="35"/>
      <c r="K346" s="35"/>
      <c r="L346" s="132" t="s">
        <v>18</v>
      </c>
      <c r="M346" s="334" t="s">
        <v>688</v>
      </c>
      <c r="N346" s="132" t="s">
        <v>76</v>
      </c>
      <c r="O346" s="132">
        <v>20</v>
      </c>
      <c r="P346" s="132" t="s">
        <v>16</v>
      </c>
      <c r="R346" s="35"/>
      <c r="S346" s="35"/>
      <c r="T346" s="304">
        <v>80</v>
      </c>
      <c r="V346" s="229">
        <v>361</v>
      </c>
    </row>
    <row r="347" spans="1:22" ht="15.75" customHeight="1" thickBot="1">
      <c r="A347" s="191">
        <v>73</v>
      </c>
      <c r="B347" s="188">
        <v>6</v>
      </c>
      <c r="C347" s="189" t="s">
        <v>15</v>
      </c>
      <c r="D347" s="189" t="s">
        <v>17</v>
      </c>
      <c r="E347" s="189">
        <v>100</v>
      </c>
      <c r="F347" s="189">
        <v>0</v>
      </c>
      <c r="G347" s="40"/>
      <c r="H347" s="190"/>
      <c r="I347" s="190"/>
      <c r="J347" s="190"/>
      <c r="K347" s="190"/>
      <c r="L347" s="189" t="s">
        <v>18</v>
      </c>
      <c r="M347" s="353" t="s">
        <v>688</v>
      </c>
      <c r="N347" s="189" t="s">
        <v>76</v>
      </c>
      <c r="O347" s="189">
        <v>30</v>
      </c>
      <c r="P347" s="189" t="s">
        <v>16</v>
      </c>
      <c r="Q347" s="352"/>
      <c r="R347" s="190"/>
      <c r="S347" s="190"/>
      <c r="T347" s="308">
        <v>70</v>
      </c>
      <c r="V347" s="229">
        <v>362</v>
      </c>
    </row>
    <row r="348" spans="1:22" ht="15.75" customHeight="1">
      <c r="A348" s="193">
        <v>74</v>
      </c>
      <c r="B348" s="186">
        <v>1</v>
      </c>
      <c r="C348" s="132" t="s">
        <v>15</v>
      </c>
      <c r="D348" s="132" t="s">
        <v>17</v>
      </c>
      <c r="E348" s="132">
        <v>100</v>
      </c>
      <c r="F348" s="132">
        <v>0</v>
      </c>
      <c r="G348" s="22">
        <v>650000</v>
      </c>
      <c r="H348" s="35"/>
      <c r="I348" s="35"/>
      <c r="J348" s="35"/>
      <c r="K348" s="132">
        <v>2.2400000000000002</v>
      </c>
      <c r="L348" s="132" t="s">
        <v>16</v>
      </c>
      <c r="N348" s="35"/>
      <c r="O348" s="35"/>
      <c r="P348" s="132" t="s">
        <v>16</v>
      </c>
      <c r="R348" s="35"/>
      <c r="S348" s="35"/>
      <c r="T348" s="309">
        <v>100</v>
      </c>
      <c r="V348" s="229">
        <v>363</v>
      </c>
    </row>
    <row r="349" spans="1:22" ht="15.75" customHeight="1">
      <c r="A349" s="193">
        <v>74</v>
      </c>
      <c r="B349" s="186">
        <v>2</v>
      </c>
      <c r="C349" s="132" t="s">
        <v>15</v>
      </c>
      <c r="D349" s="132" t="s">
        <v>17</v>
      </c>
      <c r="E349" s="132">
        <v>100</v>
      </c>
      <c r="F349" s="132">
        <v>0</v>
      </c>
      <c r="G349" s="22">
        <v>650000</v>
      </c>
      <c r="H349" s="35"/>
      <c r="I349" s="35"/>
      <c r="J349" s="35"/>
      <c r="K349" s="132">
        <v>2.2400000000000002</v>
      </c>
      <c r="L349" s="132" t="s">
        <v>18</v>
      </c>
      <c r="M349" s="334" t="s">
        <v>77</v>
      </c>
      <c r="N349" s="132" t="s">
        <v>78</v>
      </c>
      <c r="O349" s="132">
        <v>1</v>
      </c>
      <c r="P349" s="132" t="s">
        <v>16</v>
      </c>
      <c r="R349" s="35"/>
      <c r="S349" s="35"/>
      <c r="T349" s="304">
        <v>99</v>
      </c>
      <c r="V349" s="229">
        <v>364</v>
      </c>
    </row>
    <row r="350" spans="1:22" ht="15.75" customHeight="1">
      <c r="A350" s="193">
        <v>74</v>
      </c>
      <c r="B350" s="186">
        <v>3</v>
      </c>
      <c r="C350" s="132" t="s">
        <v>15</v>
      </c>
      <c r="D350" s="132" t="s">
        <v>17</v>
      </c>
      <c r="E350" s="132">
        <v>88</v>
      </c>
      <c r="F350" s="132">
        <v>12</v>
      </c>
      <c r="G350" s="22">
        <v>360000</v>
      </c>
      <c r="H350" s="35"/>
      <c r="I350" s="35"/>
      <c r="J350" s="35"/>
      <c r="K350" s="132">
        <v>2.13</v>
      </c>
      <c r="L350" s="132" t="s">
        <v>16</v>
      </c>
      <c r="N350" s="132"/>
      <c r="O350" s="132"/>
      <c r="P350" s="132" t="s">
        <v>16</v>
      </c>
      <c r="R350" s="35"/>
      <c r="S350" s="35"/>
      <c r="T350" s="304">
        <v>100</v>
      </c>
      <c r="V350" s="229">
        <v>365</v>
      </c>
    </row>
    <row r="351" spans="1:22" ht="15.75" customHeight="1">
      <c r="A351" s="193">
        <v>74</v>
      </c>
      <c r="B351" s="186">
        <v>4</v>
      </c>
      <c r="C351" s="132" t="s">
        <v>15</v>
      </c>
      <c r="D351" s="132" t="s">
        <v>17</v>
      </c>
      <c r="E351" s="132">
        <v>88</v>
      </c>
      <c r="F351" s="132">
        <v>12</v>
      </c>
      <c r="G351" s="22">
        <v>360000</v>
      </c>
      <c r="H351" s="35"/>
      <c r="I351" s="35"/>
      <c r="J351" s="35"/>
      <c r="K351" s="132">
        <v>2.13</v>
      </c>
      <c r="L351" s="132" t="s">
        <v>18</v>
      </c>
      <c r="M351" s="334" t="s">
        <v>77</v>
      </c>
      <c r="N351" s="132" t="s">
        <v>78</v>
      </c>
      <c r="O351" s="132">
        <v>1</v>
      </c>
      <c r="P351" s="132" t="s">
        <v>16</v>
      </c>
      <c r="R351" s="35"/>
      <c r="S351" s="35"/>
      <c r="T351" s="304">
        <v>99</v>
      </c>
      <c r="V351" s="229">
        <v>366</v>
      </c>
    </row>
    <row r="352" spans="1:22" ht="15.75" customHeight="1">
      <c r="A352" s="193">
        <v>74</v>
      </c>
      <c r="B352" s="186">
        <v>5</v>
      </c>
      <c r="C352" s="132" t="s">
        <v>15</v>
      </c>
      <c r="D352" s="132" t="s">
        <v>17</v>
      </c>
      <c r="E352" s="132">
        <v>88</v>
      </c>
      <c r="F352" s="132">
        <v>12</v>
      </c>
      <c r="G352" s="22">
        <v>360000</v>
      </c>
      <c r="H352" s="35"/>
      <c r="I352" s="35"/>
      <c r="J352" s="35"/>
      <c r="K352" s="132">
        <v>2.13</v>
      </c>
      <c r="L352" s="132" t="s">
        <v>18</v>
      </c>
      <c r="M352" s="334" t="s">
        <v>77</v>
      </c>
      <c r="N352" s="132" t="s">
        <v>79</v>
      </c>
      <c r="O352" s="132">
        <v>1</v>
      </c>
      <c r="P352" s="132" t="s">
        <v>16</v>
      </c>
      <c r="R352" s="35"/>
      <c r="S352" s="35"/>
      <c r="T352" s="304">
        <v>99</v>
      </c>
      <c r="V352" s="229">
        <v>367</v>
      </c>
    </row>
    <row r="353" spans="1:22" ht="15.75" customHeight="1">
      <c r="A353" s="193">
        <v>74</v>
      </c>
      <c r="B353" s="186">
        <v>6</v>
      </c>
      <c r="C353" s="132" t="s">
        <v>15</v>
      </c>
      <c r="D353" s="132" t="s">
        <v>17</v>
      </c>
      <c r="E353" s="132">
        <v>88</v>
      </c>
      <c r="F353" s="132">
        <v>12</v>
      </c>
      <c r="G353" s="22">
        <v>360000</v>
      </c>
      <c r="H353" s="35"/>
      <c r="I353" s="35"/>
      <c r="J353" s="35"/>
      <c r="K353" s="132">
        <v>2.13</v>
      </c>
      <c r="L353" s="132" t="s">
        <v>18</v>
      </c>
      <c r="M353" s="334" t="s">
        <v>77</v>
      </c>
      <c r="N353" s="132" t="s">
        <v>80</v>
      </c>
      <c r="O353" s="132">
        <v>1</v>
      </c>
      <c r="P353" s="132" t="s">
        <v>16</v>
      </c>
      <c r="R353" s="35"/>
      <c r="S353" s="35"/>
      <c r="T353" s="304">
        <v>99</v>
      </c>
      <c r="V353" s="229">
        <v>368</v>
      </c>
    </row>
    <row r="354" spans="1:22" ht="15.75" customHeight="1" thickBot="1">
      <c r="A354" s="191">
        <v>74</v>
      </c>
      <c r="B354" s="188">
        <v>7</v>
      </c>
      <c r="C354" s="189" t="s">
        <v>15</v>
      </c>
      <c r="D354" s="189" t="s">
        <v>17</v>
      </c>
      <c r="E354" s="189">
        <v>88</v>
      </c>
      <c r="F354" s="189">
        <v>12</v>
      </c>
      <c r="G354" s="37">
        <v>360000</v>
      </c>
      <c r="H354" s="190"/>
      <c r="I354" s="190"/>
      <c r="J354" s="190"/>
      <c r="K354" s="189">
        <v>2.13</v>
      </c>
      <c r="L354" s="189" t="s">
        <v>18</v>
      </c>
      <c r="M354" s="352" t="s">
        <v>77</v>
      </c>
      <c r="N354" s="189" t="s">
        <v>81</v>
      </c>
      <c r="O354" s="189">
        <v>1</v>
      </c>
      <c r="P354" s="189" t="s">
        <v>16</v>
      </c>
      <c r="Q354" s="352"/>
      <c r="R354" s="190"/>
      <c r="S354" s="190"/>
      <c r="T354" s="308">
        <v>99</v>
      </c>
      <c r="V354" s="229">
        <v>369</v>
      </c>
    </row>
    <row r="355" spans="1:22" ht="15.75" customHeight="1">
      <c r="A355" s="193">
        <v>75</v>
      </c>
      <c r="B355" s="186">
        <v>1</v>
      </c>
      <c r="C355" s="132" t="s">
        <v>15</v>
      </c>
      <c r="D355" s="132" t="s">
        <v>17</v>
      </c>
      <c r="E355" s="132">
        <v>92</v>
      </c>
      <c r="F355" s="132">
        <v>8</v>
      </c>
      <c r="G355" s="22">
        <v>443000</v>
      </c>
      <c r="H355" s="132"/>
      <c r="I355" s="35"/>
      <c r="J355" s="35"/>
      <c r="K355" s="132"/>
      <c r="L355" s="132" t="s">
        <v>16</v>
      </c>
      <c r="N355" s="35"/>
      <c r="O355" s="35"/>
      <c r="P355" s="132" t="s">
        <v>16</v>
      </c>
      <c r="R355" s="35"/>
      <c r="S355" s="35"/>
      <c r="T355" s="304">
        <v>100</v>
      </c>
      <c r="V355" s="229">
        <v>370</v>
      </c>
    </row>
    <row r="356" spans="1:22" ht="15.75" customHeight="1">
      <c r="A356" s="193">
        <v>75</v>
      </c>
      <c r="B356" s="186">
        <v>2</v>
      </c>
      <c r="C356" s="132" t="s">
        <v>15</v>
      </c>
      <c r="D356" s="132" t="s">
        <v>17</v>
      </c>
      <c r="E356" s="132">
        <v>92</v>
      </c>
      <c r="F356" s="132">
        <v>8</v>
      </c>
      <c r="G356" s="22">
        <v>443000</v>
      </c>
      <c r="H356" s="132"/>
      <c r="I356" s="35"/>
      <c r="J356" s="35"/>
      <c r="K356" s="132"/>
      <c r="L356" s="132" t="s">
        <v>18</v>
      </c>
      <c r="M356" s="334" t="s">
        <v>688</v>
      </c>
      <c r="N356" s="132" t="s">
        <v>82</v>
      </c>
      <c r="O356" s="132">
        <v>30</v>
      </c>
      <c r="P356" s="132" t="s">
        <v>16</v>
      </c>
      <c r="R356" s="35"/>
      <c r="S356" s="35"/>
      <c r="T356" s="304">
        <v>70</v>
      </c>
      <c r="V356" s="229">
        <v>371</v>
      </c>
    </row>
    <row r="357" spans="1:22" ht="15.75" customHeight="1">
      <c r="A357" s="193">
        <v>75</v>
      </c>
      <c r="B357" s="186">
        <v>3</v>
      </c>
      <c r="C357" s="132" t="s">
        <v>15</v>
      </c>
      <c r="D357" s="132" t="s">
        <v>17</v>
      </c>
      <c r="E357" s="132">
        <v>92</v>
      </c>
      <c r="F357" s="132">
        <v>8</v>
      </c>
      <c r="G357" s="22">
        <v>443000</v>
      </c>
      <c r="H357" s="132"/>
      <c r="I357" s="35"/>
      <c r="J357" s="35"/>
      <c r="K357" s="132"/>
      <c r="L357" s="132" t="s">
        <v>18</v>
      </c>
      <c r="M357" s="334" t="s">
        <v>688</v>
      </c>
      <c r="N357" s="132" t="s">
        <v>83</v>
      </c>
      <c r="O357" s="132">
        <v>30</v>
      </c>
      <c r="P357" s="132" t="s">
        <v>16</v>
      </c>
      <c r="R357" s="35"/>
      <c r="S357" s="35"/>
      <c r="T357" s="304">
        <v>70</v>
      </c>
      <c r="V357" s="229">
        <v>372</v>
      </c>
    </row>
    <row r="358" spans="1:22" ht="15.75" customHeight="1">
      <c r="A358" s="193">
        <v>75</v>
      </c>
      <c r="B358" s="186">
        <v>4</v>
      </c>
      <c r="C358" s="132" t="s">
        <v>15</v>
      </c>
      <c r="D358" s="132" t="s">
        <v>17</v>
      </c>
      <c r="E358" s="132">
        <v>92</v>
      </c>
      <c r="F358" s="132">
        <v>8</v>
      </c>
      <c r="G358" s="22">
        <v>443000</v>
      </c>
      <c r="H358" s="132"/>
      <c r="I358" s="35"/>
      <c r="J358" s="35"/>
      <c r="K358" s="132"/>
      <c r="L358" s="132" t="s">
        <v>18</v>
      </c>
      <c r="M358" s="334" t="s">
        <v>688</v>
      </c>
      <c r="N358" s="132" t="s">
        <v>84</v>
      </c>
      <c r="O358" s="132">
        <v>30</v>
      </c>
      <c r="P358" s="132" t="s">
        <v>16</v>
      </c>
      <c r="R358" s="35"/>
      <c r="S358" s="35"/>
      <c r="T358" s="304">
        <v>70</v>
      </c>
      <c r="V358" s="229">
        <v>373</v>
      </c>
    </row>
    <row r="359" spans="1:22" ht="15.75" customHeight="1">
      <c r="A359" s="193">
        <v>75</v>
      </c>
      <c r="B359" s="186">
        <v>5</v>
      </c>
      <c r="C359" s="132" t="s">
        <v>15</v>
      </c>
      <c r="D359" s="132" t="s">
        <v>17</v>
      </c>
      <c r="E359" s="132">
        <v>92</v>
      </c>
      <c r="F359" s="132">
        <v>8</v>
      </c>
      <c r="G359" s="22">
        <v>443000</v>
      </c>
      <c r="H359" s="35"/>
      <c r="I359" s="35"/>
      <c r="J359" s="35"/>
      <c r="K359" s="35"/>
      <c r="L359" s="132" t="s">
        <v>18</v>
      </c>
      <c r="M359" s="334" t="s">
        <v>688</v>
      </c>
      <c r="N359" s="132" t="s">
        <v>85</v>
      </c>
      <c r="O359" s="132">
        <v>30</v>
      </c>
      <c r="P359" s="132" t="s">
        <v>16</v>
      </c>
      <c r="R359" s="35"/>
      <c r="S359" s="35"/>
      <c r="T359" s="304">
        <v>70</v>
      </c>
      <c r="V359" s="229">
        <v>374</v>
      </c>
    </row>
    <row r="360" spans="1:22" ht="15.75" customHeight="1">
      <c r="A360" s="193">
        <v>75</v>
      </c>
      <c r="B360" s="186">
        <v>6</v>
      </c>
      <c r="C360" s="132" t="s">
        <v>15</v>
      </c>
      <c r="D360" s="132" t="s">
        <v>17</v>
      </c>
      <c r="E360" s="132">
        <v>92</v>
      </c>
      <c r="F360" s="132">
        <v>8</v>
      </c>
      <c r="G360" s="22">
        <v>443000</v>
      </c>
      <c r="H360" s="35"/>
      <c r="I360" s="35"/>
      <c r="J360" s="35"/>
      <c r="K360" s="35"/>
      <c r="L360" s="132" t="s">
        <v>18</v>
      </c>
      <c r="M360" s="334" t="s">
        <v>688</v>
      </c>
      <c r="N360" s="132" t="s">
        <v>86</v>
      </c>
      <c r="O360" s="132">
        <v>30</v>
      </c>
      <c r="P360" s="132" t="s">
        <v>16</v>
      </c>
      <c r="R360" s="35"/>
      <c r="S360" s="35"/>
      <c r="T360" s="304">
        <v>70</v>
      </c>
      <c r="V360" s="229">
        <v>375</v>
      </c>
    </row>
    <row r="361" spans="1:22" ht="15.75" customHeight="1">
      <c r="A361" s="193">
        <v>75</v>
      </c>
      <c r="B361" s="186">
        <v>7</v>
      </c>
      <c r="C361" s="132" t="s">
        <v>15</v>
      </c>
      <c r="D361" s="132" t="s">
        <v>17</v>
      </c>
      <c r="E361" s="132">
        <v>92</v>
      </c>
      <c r="F361" s="132">
        <v>8</v>
      </c>
      <c r="G361" s="22">
        <v>443000</v>
      </c>
      <c r="H361" s="35"/>
      <c r="I361" s="35"/>
      <c r="J361" s="35"/>
      <c r="K361" s="35"/>
      <c r="L361" s="132" t="s">
        <v>18</v>
      </c>
      <c r="M361" s="334" t="s">
        <v>688</v>
      </c>
      <c r="N361" s="132" t="s">
        <v>87</v>
      </c>
      <c r="O361" s="132">
        <v>30</v>
      </c>
      <c r="P361" s="132" t="s">
        <v>16</v>
      </c>
      <c r="R361" s="35"/>
      <c r="S361" s="35"/>
      <c r="T361" s="304">
        <v>70</v>
      </c>
      <c r="V361" s="229">
        <v>376</v>
      </c>
    </row>
    <row r="362" spans="1:22" ht="15.75" customHeight="1">
      <c r="A362" s="193">
        <v>75</v>
      </c>
      <c r="B362" s="186">
        <v>8</v>
      </c>
      <c r="C362" s="132" t="s">
        <v>15</v>
      </c>
      <c r="D362" s="132" t="s">
        <v>17</v>
      </c>
      <c r="E362" s="132">
        <v>92</v>
      </c>
      <c r="F362" s="132">
        <v>8</v>
      </c>
      <c r="G362" s="22">
        <v>443000</v>
      </c>
      <c r="H362" s="35"/>
      <c r="I362" s="35"/>
      <c r="J362" s="35"/>
      <c r="K362" s="35"/>
      <c r="L362" s="132" t="s">
        <v>18</v>
      </c>
      <c r="M362" s="334" t="s">
        <v>688</v>
      </c>
      <c r="N362" s="132" t="s">
        <v>88</v>
      </c>
      <c r="O362" s="132">
        <v>30</v>
      </c>
      <c r="P362" s="132" t="s">
        <v>16</v>
      </c>
      <c r="R362" s="35"/>
      <c r="S362" s="35"/>
      <c r="T362" s="304">
        <v>70</v>
      </c>
      <c r="V362" s="229">
        <v>377</v>
      </c>
    </row>
    <row r="363" spans="1:22" ht="15.75" customHeight="1">
      <c r="A363" s="193">
        <v>75</v>
      </c>
      <c r="B363" s="186">
        <v>9</v>
      </c>
      <c r="C363" s="132" t="s">
        <v>15</v>
      </c>
      <c r="D363" s="132" t="s">
        <v>17</v>
      </c>
      <c r="E363" s="132">
        <v>92</v>
      </c>
      <c r="F363" s="132">
        <v>8</v>
      </c>
      <c r="G363" s="22">
        <v>443000</v>
      </c>
      <c r="H363" s="35"/>
      <c r="I363" s="35"/>
      <c r="J363" s="35"/>
      <c r="K363" s="35"/>
      <c r="L363" s="132" t="s">
        <v>18</v>
      </c>
      <c r="M363" s="334" t="s">
        <v>688</v>
      </c>
      <c r="N363" s="132" t="s">
        <v>89</v>
      </c>
      <c r="O363" s="132">
        <v>30</v>
      </c>
      <c r="P363" s="132" t="s">
        <v>16</v>
      </c>
      <c r="R363" s="35"/>
      <c r="S363" s="35"/>
      <c r="T363" s="304">
        <v>70</v>
      </c>
      <c r="V363" s="229">
        <v>378</v>
      </c>
    </row>
    <row r="364" spans="1:22" ht="15.75" customHeight="1">
      <c r="A364" s="193">
        <v>75</v>
      </c>
      <c r="B364" s="186">
        <v>10</v>
      </c>
      <c r="C364" s="132" t="s">
        <v>15</v>
      </c>
      <c r="D364" s="132" t="s">
        <v>17</v>
      </c>
      <c r="E364" s="132">
        <v>92</v>
      </c>
      <c r="F364" s="132">
        <v>8</v>
      </c>
      <c r="G364" s="22">
        <v>443000</v>
      </c>
      <c r="H364" s="35"/>
      <c r="I364" s="35"/>
      <c r="J364" s="35"/>
      <c r="K364" s="35"/>
      <c r="L364" s="132" t="s">
        <v>18</v>
      </c>
      <c r="M364" s="334" t="s">
        <v>688</v>
      </c>
      <c r="N364" s="132" t="s">
        <v>90</v>
      </c>
      <c r="O364" s="132">
        <v>30</v>
      </c>
      <c r="P364" s="132" t="s">
        <v>16</v>
      </c>
      <c r="R364" s="35"/>
      <c r="S364" s="35"/>
      <c r="T364" s="304">
        <v>70</v>
      </c>
      <c r="V364" s="229">
        <v>379</v>
      </c>
    </row>
    <row r="365" spans="1:22" ht="15.75" customHeight="1" thickBot="1">
      <c r="A365" s="191">
        <v>75</v>
      </c>
      <c r="B365" s="188">
        <v>11</v>
      </c>
      <c r="C365" s="189" t="s">
        <v>15</v>
      </c>
      <c r="D365" s="189" t="s">
        <v>17</v>
      </c>
      <c r="E365" s="189">
        <v>92</v>
      </c>
      <c r="F365" s="189">
        <v>8</v>
      </c>
      <c r="G365" s="37">
        <v>443000</v>
      </c>
      <c r="H365" s="190"/>
      <c r="I365" s="190"/>
      <c r="J365" s="190"/>
      <c r="K365" s="190"/>
      <c r="L365" s="189" t="s">
        <v>18</v>
      </c>
      <c r="M365" s="353" t="s">
        <v>688</v>
      </c>
      <c r="N365" s="189" t="s">
        <v>91</v>
      </c>
      <c r="O365" s="189">
        <v>30</v>
      </c>
      <c r="P365" s="189" t="s">
        <v>16</v>
      </c>
      <c r="Q365" s="352"/>
      <c r="R365" s="190"/>
      <c r="S365" s="190"/>
      <c r="T365" s="308">
        <v>70</v>
      </c>
      <c r="V365" s="229">
        <v>380</v>
      </c>
    </row>
    <row r="366" spans="1:22" ht="15.75" customHeight="1">
      <c r="A366" s="193">
        <v>76</v>
      </c>
      <c r="B366" s="186">
        <v>1</v>
      </c>
      <c r="C366" s="132" t="s">
        <v>15</v>
      </c>
      <c r="D366" s="132" t="s">
        <v>17</v>
      </c>
      <c r="E366" s="132">
        <v>91</v>
      </c>
      <c r="F366" s="132">
        <v>11</v>
      </c>
      <c r="G366" s="115">
        <v>690000</v>
      </c>
      <c r="L366" s="132" t="s">
        <v>16</v>
      </c>
      <c r="N366" s="35"/>
      <c r="O366" s="35"/>
      <c r="P366" s="132" t="s">
        <v>16</v>
      </c>
      <c r="R366" s="35"/>
      <c r="S366" s="35"/>
      <c r="T366" s="304">
        <v>100</v>
      </c>
      <c r="V366" s="229">
        <v>381</v>
      </c>
    </row>
    <row r="367" spans="1:22" ht="15.75" customHeight="1" thickBot="1">
      <c r="A367" s="191">
        <v>76</v>
      </c>
      <c r="B367" s="188">
        <v>2</v>
      </c>
      <c r="C367" s="189" t="s">
        <v>15</v>
      </c>
      <c r="D367" s="189" t="s">
        <v>17</v>
      </c>
      <c r="E367" s="189">
        <v>91</v>
      </c>
      <c r="F367" s="189">
        <v>11</v>
      </c>
      <c r="G367" s="332">
        <v>690000</v>
      </c>
      <c r="H367" s="195"/>
      <c r="I367" s="195"/>
      <c r="J367" s="195"/>
      <c r="K367" s="195"/>
      <c r="L367" s="189" t="s">
        <v>18</v>
      </c>
      <c r="M367" s="353" t="s">
        <v>688</v>
      </c>
      <c r="N367" s="189" t="s">
        <v>26</v>
      </c>
      <c r="O367" s="189">
        <v>20</v>
      </c>
      <c r="P367" s="189" t="s">
        <v>16</v>
      </c>
      <c r="Q367" s="352"/>
      <c r="R367" s="190"/>
      <c r="S367" s="190"/>
      <c r="T367" s="308">
        <v>80</v>
      </c>
      <c r="V367" s="229">
        <v>382</v>
      </c>
    </row>
    <row r="368" spans="1:22" ht="15.75" customHeight="1">
      <c r="A368" s="193">
        <v>77</v>
      </c>
      <c r="B368" s="186">
        <v>1</v>
      </c>
      <c r="C368" s="132" t="s">
        <v>15</v>
      </c>
      <c r="D368" s="132" t="s">
        <v>17</v>
      </c>
      <c r="E368" s="132">
        <v>100</v>
      </c>
      <c r="F368" s="132">
        <v>0</v>
      </c>
      <c r="G368" s="22">
        <v>550000</v>
      </c>
      <c r="H368" s="35"/>
      <c r="I368" s="132"/>
      <c r="J368" s="132"/>
      <c r="K368" s="35"/>
      <c r="L368" s="132" t="s">
        <v>16</v>
      </c>
      <c r="N368" s="132"/>
      <c r="O368" s="132"/>
      <c r="P368" s="132" t="s">
        <v>16</v>
      </c>
      <c r="R368" s="35"/>
      <c r="S368" s="35"/>
      <c r="T368" s="304">
        <v>100</v>
      </c>
      <c r="V368" s="229">
        <v>383</v>
      </c>
    </row>
    <row r="369" spans="1:22" ht="15.75" customHeight="1">
      <c r="A369" s="193">
        <v>77</v>
      </c>
      <c r="B369" s="186">
        <v>2</v>
      </c>
      <c r="C369" s="132" t="s">
        <v>15</v>
      </c>
      <c r="D369" s="132" t="s">
        <v>17</v>
      </c>
      <c r="E369" s="132">
        <v>100</v>
      </c>
      <c r="F369" s="132">
        <v>0</v>
      </c>
      <c r="G369" s="22">
        <v>550000</v>
      </c>
      <c r="H369" s="35"/>
      <c r="I369" s="35"/>
      <c r="J369" s="35"/>
      <c r="K369" s="35"/>
      <c r="L369" s="132" t="s">
        <v>18</v>
      </c>
      <c r="M369" s="334" t="s">
        <v>689</v>
      </c>
      <c r="N369" s="132" t="s">
        <v>92</v>
      </c>
      <c r="O369" s="132">
        <v>5</v>
      </c>
      <c r="P369" s="132" t="s">
        <v>16</v>
      </c>
      <c r="R369" s="35"/>
      <c r="S369" s="35"/>
      <c r="T369" s="304">
        <v>95</v>
      </c>
      <c r="V369" s="229">
        <v>384</v>
      </c>
    </row>
    <row r="370" spans="1:22" ht="15.75" customHeight="1">
      <c r="A370" s="193">
        <v>77</v>
      </c>
      <c r="B370" s="186">
        <v>3</v>
      </c>
      <c r="C370" s="132" t="s">
        <v>15</v>
      </c>
      <c r="D370" s="132" t="s">
        <v>17</v>
      </c>
      <c r="E370" s="132">
        <v>100</v>
      </c>
      <c r="F370" s="132">
        <v>0</v>
      </c>
      <c r="G370" s="22">
        <v>550000</v>
      </c>
      <c r="H370" s="35"/>
      <c r="I370" s="35"/>
      <c r="J370" s="35"/>
      <c r="K370" s="35"/>
      <c r="L370" s="132" t="s">
        <v>18</v>
      </c>
      <c r="M370" s="334" t="s">
        <v>689</v>
      </c>
      <c r="N370" s="132" t="s">
        <v>93</v>
      </c>
      <c r="O370" s="132">
        <v>5</v>
      </c>
      <c r="P370" s="132" t="s">
        <v>16</v>
      </c>
      <c r="R370" s="35"/>
      <c r="S370" s="35"/>
      <c r="T370" s="304">
        <v>95</v>
      </c>
      <c r="V370" s="229">
        <v>385</v>
      </c>
    </row>
    <row r="371" spans="1:22" ht="15.75" customHeight="1">
      <c r="A371" s="193">
        <v>77</v>
      </c>
      <c r="B371" s="186">
        <v>4</v>
      </c>
      <c r="C371" s="132" t="s">
        <v>15</v>
      </c>
      <c r="D371" s="132" t="s">
        <v>17</v>
      </c>
      <c r="E371" s="132">
        <v>100</v>
      </c>
      <c r="F371" s="132">
        <v>0</v>
      </c>
      <c r="G371" s="22">
        <v>550000</v>
      </c>
      <c r="H371" s="35"/>
      <c r="I371" s="35"/>
      <c r="J371" s="35"/>
      <c r="K371" s="35"/>
      <c r="L371" s="132" t="s">
        <v>18</v>
      </c>
      <c r="M371" s="334" t="s">
        <v>689</v>
      </c>
      <c r="N371" s="132" t="s">
        <v>31</v>
      </c>
      <c r="O371" s="132">
        <v>5</v>
      </c>
      <c r="P371" s="132" t="s">
        <v>16</v>
      </c>
      <c r="R371" s="35"/>
      <c r="S371" s="35"/>
      <c r="T371" s="304">
        <v>95</v>
      </c>
      <c r="V371" s="229">
        <v>386</v>
      </c>
    </row>
    <row r="372" spans="1:22" ht="15.75" customHeight="1">
      <c r="A372" s="193">
        <v>77</v>
      </c>
      <c r="B372" s="186">
        <v>5</v>
      </c>
      <c r="C372" s="132" t="s">
        <v>15</v>
      </c>
      <c r="D372" s="132" t="s">
        <v>17</v>
      </c>
      <c r="E372" s="132">
        <v>100</v>
      </c>
      <c r="F372" s="132">
        <v>0</v>
      </c>
      <c r="G372" s="22">
        <v>550000</v>
      </c>
      <c r="H372" s="35"/>
      <c r="I372" s="35"/>
      <c r="J372" s="35"/>
      <c r="K372" s="35"/>
      <c r="L372" s="132" t="s">
        <v>18</v>
      </c>
      <c r="M372" s="334" t="s">
        <v>689</v>
      </c>
      <c r="N372" s="132" t="s">
        <v>33</v>
      </c>
      <c r="O372" s="132">
        <v>5</v>
      </c>
      <c r="P372" s="132" t="s">
        <v>16</v>
      </c>
      <c r="R372" s="35"/>
      <c r="S372" s="35"/>
      <c r="T372" s="304">
        <v>95</v>
      </c>
      <c r="V372" s="229">
        <v>387</v>
      </c>
    </row>
    <row r="373" spans="1:22" ht="15.75" customHeight="1">
      <c r="A373" s="193">
        <v>77</v>
      </c>
      <c r="B373" s="186">
        <v>6</v>
      </c>
      <c r="C373" s="132" t="s">
        <v>15</v>
      </c>
      <c r="D373" s="132" t="s">
        <v>17</v>
      </c>
      <c r="E373" s="132">
        <v>100</v>
      </c>
      <c r="F373" s="132">
        <v>0</v>
      </c>
      <c r="G373" s="22">
        <v>550000</v>
      </c>
      <c r="H373" s="35"/>
      <c r="I373" s="35"/>
      <c r="J373" s="35"/>
      <c r="K373" s="35"/>
      <c r="L373" s="132" t="s">
        <v>18</v>
      </c>
      <c r="M373" s="334" t="s">
        <v>689</v>
      </c>
      <c r="N373" s="132" t="s">
        <v>92</v>
      </c>
      <c r="O373" s="132">
        <v>10</v>
      </c>
      <c r="P373" s="132" t="s">
        <v>16</v>
      </c>
      <c r="R373" s="35"/>
      <c r="S373" s="35"/>
      <c r="T373" s="304">
        <v>90</v>
      </c>
      <c r="V373" s="229">
        <v>388</v>
      </c>
    </row>
    <row r="374" spans="1:22" ht="15.75" customHeight="1">
      <c r="A374" s="193">
        <v>77</v>
      </c>
      <c r="B374" s="186">
        <v>7</v>
      </c>
      <c r="C374" s="132" t="s">
        <v>15</v>
      </c>
      <c r="D374" s="132" t="s">
        <v>17</v>
      </c>
      <c r="E374" s="132">
        <v>100</v>
      </c>
      <c r="F374" s="132">
        <v>0</v>
      </c>
      <c r="G374" s="22">
        <v>550000</v>
      </c>
      <c r="H374" s="35"/>
      <c r="I374" s="35"/>
      <c r="J374" s="35"/>
      <c r="K374" s="35"/>
      <c r="L374" s="132" t="s">
        <v>18</v>
      </c>
      <c r="M374" s="334" t="s">
        <v>689</v>
      </c>
      <c r="N374" s="132" t="s">
        <v>93</v>
      </c>
      <c r="O374" s="132">
        <v>10</v>
      </c>
      <c r="P374" s="132" t="s">
        <v>16</v>
      </c>
      <c r="R374" s="35"/>
      <c r="S374" s="35"/>
      <c r="T374" s="304">
        <v>90</v>
      </c>
      <c r="V374" s="229">
        <v>389</v>
      </c>
    </row>
    <row r="375" spans="1:22" ht="15.75" customHeight="1">
      <c r="A375" s="193">
        <v>77</v>
      </c>
      <c r="B375" s="186">
        <v>8</v>
      </c>
      <c r="C375" s="132" t="s">
        <v>15</v>
      </c>
      <c r="D375" s="132" t="s">
        <v>17</v>
      </c>
      <c r="E375" s="132">
        <v>100</v>
      </c>
      <c r="F375" s="132">
        <v>0</v>
      </c>
      <c r="G375" s="22">
        <v>550000</v>
      </c>
      <c r="H375" s="35"/>
      <c r="I375" s="35"/>
      <c r="J375" s="35"/>
      <c r="K375" s="35"/>
      <c r="L375" s="132" t="s">
        <v>18</v>
      </c>
      <c r="M375" s="334" t="s">
        <v>689</v>
      </c>
      <c r="N375" s="132" t="s">
        <v>31</v>
      </c>
      <c r="O375" s="132">
        <v>10</v>
      </c>
      <c r="P375" s="132" t="s">
        <v>16</v>
      </c>
      <c r="R375" s="35"/>
      <c r="S375" s="35"/>
      <c r="T375" s="304">
        <v>90</v>
      </c>
      <c r="V375" s="229">
        <v>390</v>
      </c>
    </row>
    <row r="376" spans="1:22" ht="15.75" customHeight="1" thickBot="1">
      <c r="A376" s="191">
        <v>77</v>
      </c>
      <c r="B376" s="188">
        <v>9</v>
      </c>
      <c r="C376" s="189" t="s">
        <v>15</v>
      </c>
      <c r="D376" s="189" t="s">
        <v>17</v>
      </c>
      <c r="E376" s="189">
        <v>100</v>
      </c>
      <c r="F376" s="189">
        <v>0</v>
      </c>
      <c r="G376" s="37">
        <v>550000</v>
      </c>
      <c r="H376" s="190"/>
      <c r="I376" s="190"/>
      <c r="J376" s="190"/>
      <c r="K376" s="190"/>
      <c r="L376" s="189" t="s">
        <v>18</v>
      </c>
      <c r="M376" s="353" t="s">
        <v>689</v>
      </c>
      <c r="N376" s="189" t="s">
        <v>33</v>
      </c>
      <c r="O376" s="189">
        <v>10</v>
      </c>
      <c r="P376" s="189" t="s">
        <v>16</v>
      </c>
      <c r="Q376" s="352"/>
      <c r="R376" s="190"/>
      <c r="S376" s="190"/>
      <c r="T376" s="308">
        <v>90</v>
      </c>
      <c r="V376" s="229">
        <v>391</v>
      </c>
    </row>
    <row r="377" spans="1:22" ht="15.75" customHeight="1">
      <c r="A377" s="193">
        <v>78</v>
      </c>
      <c r="B377" s="186">
        <v>1</v>
      </c>
      <c r="C377" s="132" t="s">
        <v>15</v>
      </c>
      <c r="D377" s="132" t="s">
        <v>17</v>
      </c>
      <c r="E377" s="132">
        <v>100</v>
      </c>
      <c r="F377" s="132">
        <v>0</v>
      </c>
      <c r="G377" s="17">
        <v>1700000</v>
      </c>
      <c r="H377" s="35">
        <v>890000</v>
      </c>
      <c r="I377" s="35"/>
      <c r="J377" s="35"/>
      <c r="K377" s="35">
        <v>1.91</v>
      </c>
      <c r="L377" s="132" t="s">
        <v>16</v>
      </c>
      <c r="N377" s="35"/>
      <c r="O377" s="35"/>
      <c r="P377" s="132" t="s">
        <v>16</v>
      </c>
      <c r="R377" s="35"/>
      <c r="S377" s="35"/>
      <c r="T377" s="304">
        <v>100</v>
      </c>
      <c r="V377" s="229">
        <v>392</v>
      </c>
    </row>
    <row r="378" spans="1:22" ht="15.75" customHeight="1">
      <c r="A378" s="193">
        <v>78</v>
      </c>
      <c r="B378" s="186">
        <v>2</v>
      </c>
      <c r="C378" s="132" t="s">
        <v>15</v>
      </c>
      <c r="D378" s="132" t="s">
        <v>17</v>
      </c>
      <c r="E378" s="132">
        <v>100</v>
      </c>
      <c r="F378" s="132">
        <v>0</v>
      </c>
      <c r="G378" s="17">
        <v>1200000</v>
      </c>
      <c r="H378" s="35">
        <v>580000</v>
      </c>
      <c r="I378" s="35"/>
      <c r="J378" s="35"/>
      <c r="K378" s="35">
        <v>2.0699999999999998</v>
      </c>
      <c r="L378" s="132" t="s">
        <v>16</v>
      </c>
      <c r="N378" s="35"/>
      <c r="O378" s="35"/>
      <c r="P378" s="132" t="s">
        <v>16</v>
      </c>
      <c r="R378" s="35"/>
      <c r="S378" s="35"/>
      <c r="T378" s="304">
        <v>100</v>
      </c>
      <c r="V378" s="229">
        <v>393</v>
      </c>
    </row>
    <row r="379" spans="1:22" ht="15.75" customHeight="1">
      <c r="A379" s="193">
        <v>78</v>
      </c>
      <c r="B379" s="186">
        <v>3</v>
      </c>
      <c r="C379" s="132" t="s">
        <v>15</v>
      </c>
      <c r="D379" s="132" t="s">
        <v>17</v>
      </c>
      <c r="E379" s="132">
        <v>100</v>
      </c>
      <c r="F379" s="132">
        <v>0</v>
      </c>
      <c r="G379" s="17">
        <v>1600000</v>
      </c>
      <c r="H379" s="35">
        <v>750000</v>
      </c>
      <c r="I379" s="35"/>
      <c r="J379" s="35"/>
      <c r="K379" s="35">
        <v>2.13</v>
      </c>
      <c r="L379" s="132" t="s">
        <v>16</v>
      </c>
      <c r="N379" s="35"/>
      <c r="O379" s="35"/>
      <c r="P379" s="132" t="s">
        <v>16</v>
      </c>
      <c r="R379" s="35"/>
      <c r="S379" s="35"/>
      <c r="T379" s="304">
        <v>100</v>
      </c>
      <c r="V379" s="229">
        <v>394</v>
      </c>
    </row>
    <row r="380" spans="1:22" ht="15.75" customHeight="1">
      <c r="A380" s="193">
        <v>78</v>
      </c>
      <c r="B380" s="186">
        <v>4</v>
      </c>
      <c r="C380" s="132" t="s">
        <v>15</v>
      </c>
      <c r="D380" s="132" t="s">
        <v>17</v>
      </c>
      <c r="E380" s="132">
        <v>100</v>
      </c>
      <c r="F380" s="132">
        <v>0</v>
      </c>
      <c r="G380" s="17">
        <v>2500000</v>
      </c>
      <c r="H380" s="35">
        <v>1180000</v>
      </c>
      <c r="I380" s="35"/>
      <c r="J380" s="35"/>
      <c r="K380" s="35">
        <v>2.12</v>
      </c>
      <c r="L380" s="132" t="s">
        <v>16</v>
      </c>
      <c r="N380" s="35"/>
      <c r="O380" s="35"/>
      <c r="P380" s="132" t="s">
        <v>16</v>
      </c>
      <c r="R380" s="35"/>
      <c r="S380" s="35"/>
      <c r="T380" s="304">
        <v>100</v>
      </c>
      <c r="V380" s="229">
        <v>395</v>
      </c>
    </row>
    <row r="381" spans="1:22" ht="15.75" customHeight="1">
      <c r="A381" s="193">
        <v>78</v>
      </c>
      <c r="B381" s="186">
        <v>5</v>
      </c>
      <c r="C381" s="132" t="s">
        <v>15</v>
      </c>
      <c r="D381" s="132" t="s">
        <v>17</v>
      </c>
      <c r="E381" s="132">
        <v>100</v>
      </c>
      <c r="F381" s="132">
        <v>0</v>
      </c>
      <c r="G381" s="17">
        <v>1300000</v>
      </c>
      <c r="H381" s="35">
        <v>720000</v>
      </c>
      <c r="I381" s="35"/>
      <c r="J381" s="35"/>
      <c r="K381" s="35">
        <v>1.81</v>
      </c>
      <c r="L381" s="132" t="s">
        <v>16</v>
      </c>
      <c r="N381" s="35"/>
      <c r="O381" s="35"/>
      <c r="P381" s="132" t="s">
        <v>16</v>
      </c>
      <c r="R381" s="35"/>
      <c r="S381" s="35"/>
      <c r="T381" s="304">
        <v>100</v>
      </c>
      <c r="V381" s="229">
        <v>396</v>
      </c>
    </row>
    <row r="382" spans="1:22" ht="15.75" customHeight="1">
      <c r="A382" s="193">
        <v>78</v>
      </c>
      <c r="B382" s="186">
        <v>6</v>
      </c>
      <c r="C382" s="132" t="s">
        <v>15</v>
      </c>
      <c r="D382" s="132" t="s">
        <v>17</v>
      </c>
      <c r="E382" s="132">
        <v>100</v>
      </c>
      <c r="F382" s="132">
        <v>0</v>
      </c>
      <c r="G382" s="17">
        <v>1000000</v>
      </c>
      <c r="H382" s="35">
        <v>560000</v>
      </c>
      <c r="I382" s="35"/>
      <c r="J382" s="35"/>
      <c r="K382" s="35">
        <v>1.79</v>
      </c>
      <c r="L382" s="132" t="s">
        <v>16</v>
      </c>
      <c r="N382" s="35"/>
      <c r="O382" s="35"/>
      <c r="P382" s="132" t="s">
        <v>16</v>
      </c>
      <c r="R382" s="35"/>
      <c r="S382" s="35"/>
      <c r="T382" s="304">
        <v>100</v>
      </c>
      <c r="V382" s="229">
        <v>397</v>
      </c>
    </row>
    <row r="383" spans="1:22" ht="15.75" customHeight="1">
      <c r="A383" s="193">
        <v>78</v>
      </c>
      <c r="B383" s="186">
        <v>7</v>
      </c>
      <c r="C383" s="132" t="s">
        <v>15</v>
      </c>
      <c r="D383" s="132" t="s">
        <v>17</v>
      </c>
      <c r="E383" s="132">
        <v>100</v>
      </c>
      <c r="F383" s="132">
        <v>0</v>
      </c>
      <c r="G383" s="17">
        <v>1800000</v>
      </c>
      <c r="H383" s="35">
        <v>940000</v>
      </c>
      <c r="I383" s="35"/>
      <c r="J383" s="35"/>
      <c r="K383" s="35">
        <v>1.91</v>
      </c>
      <c r="L383" s="132" t="s">
        <v>16</v>
      </c>
      <c r="N383" s="35"/>
      <c r="O383" s="35"/>
      <c r="P383" s="132" t="s">
        <v>16</v>
      </c>
      <c r="R383" s="35"/>
      <c r="S383" s="35"/>
      <c r="T383" s="304">
        <v>100</v>
      </c>
      <c r="V383" s="229">
        <v>398</v>
      </c>
    </row>
    <row r="384" spans="1:22" ht="15.75" customHeight="1">
      <c r="A384" s="193">
        <v>78</v>
      </c>
      <c r="B384" s="186">
        <v>8</v>
      </c>
      <c r="C384" s="132" t="s">
        <v>15</v>
      </c>
      <c r="D384" s="132" t="s">
        <v>17</v>
      </c>
      <c r="E384" s="132">
        <v>100</v>
      </c>
      <c r="F384" s="132">
        <v>0</v>
      </c>
      <c r="G384" s="17">
        <v>2000000</v>
      </c>
      <c r="H384" s="35">
        <v>1090000</v>
      </c>
      <c r="I384" s="35"/>
      <c r="J384" s="35"/>
      <c r="K384" s="35">
        <v>1.83</v>
      </c>
      <c r="L384" s="132" t="s">
        <v>16</v>
      </c>
      <c r="N384" s="35"/>
      <c r="O384" s="35"/>
      <c r="P384" s="132" t="s">
        <v>16</v>
      </c>
      <c r="R384" s="35"/>
      <c r="S384" s="35"/>
      <c r="T384" s="304">
        <v>100</v>
      </c>
      <c r="V384" s="229">
        <v>399</v>
      </c>
    </row>
    <row r="385" spans="1:22" ht="15.75" customHeight="1">
      <c r="A385" s="193">
        <v>78</v>
      </c>
      <c r="B385" s="186">
        <v>9</v>
      </c>
      <c r="C385" s="132" t="s">
        <v>15</v>
      </c>
      <c r="D385" s="132" t="s">
        <v>17</v>
      </c>
      <c r="E385" s="132">
        <v>100</v>
      </c>
      <c r="F385" s="132">
        <v>0</v>
      </c>
      <c r="G385" s="17">
        <v>1400000</v>
      </c>
      <c r="H385" s="35">
        <v>650000</v>
      </c>
      <c r="I385" s="35"/>
      <c r="J385" s="35"/>
      <c r="K385" s="35">
        <v>2.15</v>
      </c>
      <c r="L385" s="132" t="s">
        <v>16</v>
      </c>
      <c r="N385" s="35"/>
      <c r="O385" s="35"/>
      <c r="P385" s="132" t="s">
        <v>16</v>
      </c>
      <c r="R385" s="35"/>
      <c r="S385" s="35"/>
      <c r="T385" s="304">
        <v>100</v>
      </c>
      <c r="V385" s="229">
        <v>400</v>
      </c>
    </row>
    <row r="386" spans="1:22" ht="15.75" customHeight="1">
      <c r="A386" s="193">
        <v>78</v>
      </c>
      <c r="B386" s="186">
        <v>10</v>
      </c>
      <c r="C386" s="132" t="s">
        <v>15</v>
      </c>
      <c r="D386" s="132" t="s">
        <v>17</v>
      </c>
      <c r="E386" s="132">
        <v>100</v>
      </c>
      <c r="F386" s="132">
        <v>0</v>
      </c>
      <c r="G386" s="17">
        <v>2200000</v>
      </c>
      <c r="H386" s="35">
        <v>880000</v>
      </c>
      <c r="I386" s="35"/>
      <c r="J386" s="35"/>
      <c r="K386" s="35">
        <v>2.5</v>
      </c>
      <c r="L386" s="132" t="s">
        <v>16</v>
      </c>
      <c r="N386" s="35"/>
      <c r="O386" s="35"/>
      <c r="P386" s="132" t="s">
        <v>16</v>
      </c>
      <c r="R386" s="35"/>
      <c r="S386" s="35"/>
      <c r="T386" s="304">
        <v>100</v>
      </c>
      <c r="V386" s="229">
        <v>401</v>
      </c>
    </row>
    <row r="387" spans="1:22" ht="15.75" customHeight="1">
      <c r="A387" s="193">
        <v>78</v>
      </c>
      <c r="B387" s="186">
        <v>11</v>
      </c>
      <c r="C387" s="132" t="s">
        <v>15</v>
      </c>
      <c r="D387" s="132" t="s">
        <v>17</v>
      </c>
      <c r="E387" s="132">
        <v>100</v>
      </c>
      <c r="F387" s="132">
        <v>0</v>
      </c>
      <c r="G387" s="17">
        <v>2200000</v>
      </c>
      <c r="H387" s="35">
        <v>970000</v>
      </c>
      <c r="I387" s="35"/>
      <c r="J387" s="35"/>
      <c r="K387" s="35">
        <v>2.27</v>
      </c>
      <c r="L387" s="132" t="s">
        <v>16</v>
      </c>
      <c r="N387" s="35"/>
      <c r="O387" s="35"/>
      <c r="P387" s="132" t="s">
        <v>16</v>
      </c>
      <c r="R387" s="35"/>
      <c r="S387" s="35"/>
      <c r="T387" s="304">
        <v>100</v>
      </c>
      <c r="V387" s="229">
        <v>402</v>
      </c>
    </row>
    <row r="388" spans="1:22" ht="15.75" customHeight="1">
      <c r="A388" s="193">
        <v>78</v>
      </c>
      <c r="B388" s="186">
        <v>12</v>
      </c>
      <c r="C388" s="132" t="s">
        <v>15</v>
      </c>
      <c r="D388" s="132" t="s">
        <v>17</v>
      </c>
      <c r="E388" s="132">
        <v>100</v>
      </c>
      <c r="F388" s="132">
        <v>0</v>
      </c>
      <c r="G388" s="17">
        <v>2400000</v>
      </c>
      <c r="H388" s="35">
        <v>990000</v>
      </c>
      <c r="I388" s="35"/>
      <c r="J388" s="35"/>
      <c r="K388" s="35">
        <v>2.42</v>
      </c>
      <c r="L388" s="132" t="s">
        <v>16</v>
      </c>
      <c r="N388" s="35"/>
      <c r="O388" s="35"/>
      <c r="P388" s="132" t="s">
        <v>16</v>
      </c>
      <c r="R388" s="35"/>
      <c r="S388" s="35"/>
      <c r="T388" s="304">
        <v>100</v>
      </c>
      <c r="V388" s="229">
        <v>403</v>
      </c>
    </row>
    <row r="389" spans="1:22" ht="15.75" customHeight="1">
      <c r="A389" s="193">
        <v>78</v>
      </c>
      <c r="B389" s="186">
        <v>13</v>
      </c>
      <c r="C389" s="132" t="s">
        <v>15</v>
      </c>
      <c r="D389" s="132" t="s">
        <v>17</v>
      </c>
      <c r="E389" s="132">
        <v>100</v>
      </c>
      <c r="F389" s="132">
        <v>0</v>
      </c>
      <c r="G389" s="17">
        <v>1900000</v>
      </c>
      <c r="H389" s="35">
        <v>970000</v>
      </c>
      <c r="I389" s="35"/>
      <c r="J389" s="35"/>
      <c r="K389" s="35">
        <v>1.96</v>
      </c>
      <c r="L389" s="132" t="s">
        <v>16</v>
      </c>
      <c r="N389" s="35"/>
      <c r="O389" s="35"/>
      <c r="P389" s="132" t="s">
        <v>16</v>
      </c>
      <c r="R389" s="35"/>
      <c r="S389" s="35"/>
      <c r="T389" s="304">
        <v>100</v>
      </c>
      <c r="V389" s="229">
        <v>404</v>
      </c>
    </row>
    <row r="390" spans="1:22" ht="15.75" customHeight="1">
      <c r="A390" s="193">
        <v>78</v>
      </c>
      <c r="B390" s="186">
        <v>14</v>
      </c>
      <c r="C390" s="132" t="s">
        <v>15</v>
      </c>
      <c r="D390" s="132" t="s">
        <v>17</v>
      </c>
      <c r="E390" s="132">
        <v>100</v>
      </c>
      <c r="F390" s="132">
        <v>0</v>
      </c>
      <c r="G390" s="17">
        <v>2500000</v>
      </c>
      <c r="H390" s="35">
        <v>1400000</v>
      </c>
      <c r="I390" s="35"/>
      <c r="J390" s="35"/>
      <c r="K390" s="35">
        <v>1.79</v>
      </c>
      <c r="L390" s="132" t="s">
        <v>16</v>
      </c>
      <c r="N390" s="35"/>
      <c r="O390" s="35"/>
      <c r="P390" s="132" t="s">
        <v>16</v>
      </c>
      <c r="R390" s="35"/>
      <c r="S390" s="35"/>
      <c r="T390" s="304">
        <v>100</v>
      </c>
      <c r="V390" s="229">
        <v>405</v>
      </c>
    </row>
    <row r="391" spans="1:22" ht="15.75" customHeight="1">
      <c r="A391" s="193">
        <v>78</v>
      </c>
      <c r="B391" s="186">
        <v>15</v>
      </c>
      <c r="C391" s="132" t="s">
        <v>15</v>
      </c>
      <c r="D391" s="132" t="s">
        <v>17</v>
      </c>
      <c r="E391" s="132">
        <v>100</v>
      </c>
      <c r="F391" s="132">
        <v>0</v>
      </c>
      <c r="G391" s="17">
        <v>2700000</v>
      </c>
      <c r="H391" s="35">
        <v>1600000</v>
      </c>
      <c r="I391" s="35"/>
      <c r="J391" s="35"/>
      <c r="K391" s="35">
        <v>1.69</v>
      </c>
      <c r="L391" s="132" t="s">
        <v>16</v>
      </c>
      <c r="N391" s="35"/>
      <c r="O391" s="35"/>
      <c r="P391" s="132" t="s">
        <v>16</v>
      </c>
      <c r="R391" s="35"/>
      <c r="S391" s="35"/>
      <c r="T391" s="304">
        <v>100</v>
      </c>
      <c r="V391" s="229">
        <v>406</v>
      </c>
    </row>
    <row r="392" spans="1:22" ht="15.75" customHeight="1" thickBot="1">
      <c r="A392" s="191">
        <v>78</v>
      </c>
      <c r="B392" s="188">
        <v>16</v>
      </c>
      <c r="C392" s="189" t="s">
        <v>15</v>
      </c>
      <c r="D392" s="189" t="s">
        <v>17</v>
      </c>
      <c r="E392" s="189">
        <v>100</v>
      </c>
      <c r="F392" s="189">
        <v>0</v>
      </c>
      <c r="G392" s="40">
        <v>2800000</v>
      </c>
      <c r="H392" s="190">
        <v>1700000</v>
      </c>
      <c r="I392" s="190"/>
      <c r="J392" s="190"/>
      <c r="K392" s="190">
        <v>1.65</v>
      </c>
      <c r="L392" s="189" t="s">
        <v>16</v>
      </c>
      <c r="M392" s="352"/>
      <c r="N392" s="190"/>
      <c r="O392" s="190"/>
      <c r="P392" s="189" t="s">
        <v>16</v>
      </c>
      <c r="Q392" s="352"/>
      <c r="R392" s="190"/>
      <c r="S392" s="190"/>
      <c r="T392" s="308">
        <v>100</v>
      </c>
      <c r="V392" s="229">
        <v>407</v>
      </c>
    </row>
    <row r="393" spans="1:22" ht="15.75" customHeight="1">
      <c r="A393" s="193">
        <v>79</v>
      </c>
      <c r="B393" s="186">
        <v>1</v>
      </c>
      <c r="C393" s="132" t="s">
        <v>15</v>
      </c>
      <c r="D393" s="132" t="s">
        <v>17</v>
      </c>
      <c r="E393" s="132">
        <v>22.9</v>
      </c>
      <c r="F393" s="132">
        <v>77.099999999999994</v>
      </c>
      <c r="G393" s="22">
        <v>286000</v>
      </c>
      <c r="H393" s="35"/>
      <c r="I393" s="35"/>
      <c r="J393" s="35"/>
      <c r="K393" s="132">
        <v>2.5</v>
      </c>
      <c r="L393" s="132" t="s">
        <v>16</v>
      </c>
      <c r="N393" s="35"/>
      <c r="O393" s="35"/>
      <c r="P393" s="132" t="s">
        <v>16</v>
      </c>
      <c r="R393" s="35"/>
      <c r="S393" s="35"/>
      <c r="T393" s="304">
        <v>100</v>
      </c>
      <c r="V393" s="229">
        <v>408</v>
      </c>
    </row>
    <row r="394" spans="1:22" ht="15.75" customHeight="1">
      <c r="A394" s="193">
        <v>79</v>
      </c>
      <c r="B394" s="186">
        <v>2</v>
      </c>
      <c r="C394" s="132" t="s">
        <v>15</v>
      </c>
      <c r="D394" s="132" t="s">
        <v>17</v>
      </c>
      <c r="E394" s="132">
        <v>22.9</v>
      </c>
      <c r="F394" s="132">
        <v>77.099999999999994</v>
      </c>
      <c r="G394" s="22">
        <v>286000</v>
      </c>
      <c r="H394" s="35"/>
      <c r="I394" s="35"/>
      <c r="J394" s="35"/>
      <c r="K394" s="132">
        <v>2.5</v>
      </c>
      <c r="L394" s="132" t="s">
        <v>18</v>
      </c>
      <c r="M394" s="334" t="s">
        <v>688</v>
      </c>
      <c r="N394" s="132" t="s">
        <v>26</v>
      </c>
      <c r="O394" s="132">
        <v>1</v>
      </c>
      <c r="P394" s="132" t="s">
        <v>16</v>
      </c>
      <c r="R394" s="35"/>
      <c r="S394" s="35"/>
      <c r="T394" s="304">
        <v>99</v>
      </c>
      <c r="V394" s="229">
        <v>409</v>
      </c>
    </row>
    <row r="395" spans="1:22" ht="15.75" customHeight="1">
      <c r="A395" s="193">
        <v>79</v>
      </c>
      <c r="B395" s="186">
        <v>3</v>
      </c>
      <c r="C395" s="132" t="s">
        <v>15</v>
      </c>
      <c r="D395" s="132" t="s">
        <v>17</v>
      </c>
      <c r="E395" s="132">
        <v>22.9</v>
      </c>
      <c r="F395" s="132">
        <v>77.099999999999994</v>
      </c>
      <c r="G395" s="22">
        <v>286000</v>
      </c>
      <c r="H395" s="35"/>
      <c r="I395" s="35"/>
      <c r="J395" s="35"/>
      <c r="K395" s="132">
        <v>2.5</v>
      </c>
      <c r="L395" s="132" t="s">
        <v>18</v>
      </c>
      <c r="M395" s="334" t="s">
        <v>688</v>
      </c>
      <c r="N395" s="132" t="s">
        <v>26</v>
      </c>
      <c r="O395" s="132">
        <v>5</v>
      </c>
      <c r="P395" s="132" t="s">
        <v>16</v>
      </c>
      <c r="R395" s="35"/>
      <c r="S395" s="35"/>
      <c r="T395" s="304">
        <v>95</v>
      </c>
      <c r="V395" s="229">
        <v>410</v>
      </c>
    </row>
    <row r="396" spans="1:22" ht="15.75" customHeight="1" thickBot="1">
      <c r="A396" s="191">
        <v>79</v>
      </c>
      <c r="B396" s="188">
        <v>4</v>
      </c>
      <c r="C396" s="189" t="s">
        <v>15</v>
      </c>
      <c r="D396" s="189" t="s">
        <v>17</v>
      </c>
      <c r="E396" s="189">
        <v>22.9</v>
      </c>
      <c r="F396" s="189">
        <v>77.099999999999994</v>
      </c>
      <c r="G396" s="37">
        <v>286000</v>
      </c>
      <c r="H396" s="190"/>
      <c r="I396" s="190"/>
      <c r="J396" s="190"/>
      <c r="K396" s="189">
        <v>2.5</v>
      </c>
      <c r="L396" s="189" t="s">
        <v>18</v>
      </c>
      <c r="M396" s="353" t="s">
        <v>688</v>
      </c>
      <c r="N396" s="189" t="s">
        <v>26</v>
      </c>
      <c r="O396" s="189">
        <v>10</v>
      </c>
      <c r="P396" s="189" t="s">
        <v>16</v>
      </c>
      <c r="Q396" s="352"/>
      <c r="R396" s="190"/>
      <c r="S396" s="190"/>
      <c r="T396" s="308">
        <v>90</v>
      </c>
      <c r="V396" s="229">
        <v>411</v>
      </c>
    </row>
    <row r="397" spans="1:22" ht="15.75" customHeight="1">
      <c r="A397" s="193">
        <v>80</v>
      </c>
      <c r="B397" s="186">
        <v>1</v>
      </c>
      <c r="C397" s="132" t="s">
        <v>15</v>
      </c>
      <c r="D397" s="132" t="s">
        <v>17</v>
      </c>
      <c r="E397" s="132">
        <v>100</v>
      </c>
      <c r="F397" s="132">
        <v>0</v>
      </c>
      <c r="G397" s="17"/>
      <c r="H397" s="35"/>
      <c r="I397" s="35"/>
      <c r="J397" s="35"/>
      <c r="K397" s="35"/>
      <c r="L397" s="132" t="s">
        <v>16</v>
      </c>
      <c r="N397" s="35"/>
      <c r="O397" s="35"/>
      <c r="P397" s="132" t="s">
        <v>16</v>
      </c>
      <c r="R397" s="35"/>
      <c r="S397" s="35"/>
      <c r="T397" s="304">
        <v>100</v>
      </c>
      <c r="V397" s="229">
        <v>412</v>
      </c>
    </row>
    <row r="398" spans="1:22" ht="15.75" customHeight="1">
      <c r="A398" s="193">
        <v>80</v>
      </c>
      <c r="B398" s="186">
        <v>2</v>
      </c>
      <c r="C398" s="132" t="s">
        <v>15</v>
      </c>
      <c r="D398" s="132" t="s">
        <v>17</v>
      </c>
      <c r="E398" s="132">
        <v>100</v>
      </c>
      <c r="F398" s="132">
        <v>0</v>
      </c>
      <c r="G398" s="17"/>
      <c r="H398" s="35"/>
      <c r="I398" s="35"/>
      <c r="J398" s="35"/>
      <c r="K398" s="35"/>
      <c r="L398" s="132" t="s">
        <v>18</v>
      </c>
      <c r="M398" s="334" t="s">
        <v>688</v>
      </c>
      <c r="N398" s="132" t="s">
        <v>94</v>
      </c>
      <c r="O398" s="132">
        <v>10</v>
      </c>
      <c r="P398" s="132" t="s">
        <v>16</v>
      </c>
      <c r="R398" s="35"/>
      <c r="S398" s="35"/>
      <c r="T398" s="304">
        <v>90</v>
      </c>
      <c r="V398" s="229">
        <v>413</v>
      </c>
    </row>
    <row r="399" spans="1:22" ht="15.75" customHeight="1">
      <c r="A399" s="193">
        <v>80</v>
      </c>
      <c r="B399" s="186">
        <v>3</v>
      </c>
      <c r="C399" s="132" t="s">
        <v>15</v>
      </c>
      <c r="D399" s="132" t="s">
        <v>17</v>
      </c>
      <c r="E399" s="132">
        <v>100</v>
      </c>
      <c r="F399" s="132">
        <v>0</v>
      </c>
      <c r="G399" s="17"/>
      <c r="H399" s="35"/>
      <c r="I399" s="35"/>
      <c r="J399" s="35"/>
      <c r="K399" s="35"/>
      <c r="L399" s="132" t="s">
        <v>18</v>
      </c>
      <c r="M399" s="334" t="s">
        <v>688</v>
      </c>
      <c r="N399" s="132" t="s">
        <v>95</v>
      </c>
      <c r="O399" s="132">
        <v>10</v>
      </c>
      <c r="P399" s="132" t="s">
        <v>16</v>
      </c>
      <c r="R399" s="35"/>
      <c r="S399" s="35"/>
      <c r="T399" s="304">
        <v>90</v>
      </c>
      <c r="V399" s="229">
        <v>414</v>
      </c>
    </row>
    <row r="400" spans="1:22" ht="15.75" customHeight="1">
      <c r="A400" s="193">
        <v>80</v>
      </c>
      <c r="B400" s="186">
        <v>4</v>
      </c>
      <c r="C400" s="132" t="s">
        <v>15</v>
      </c>
      <c r="D400" s="132" t="s">
        <v>17</v>
      </c>
      <c r="E400" s="132">
        <v>100</v>
      </c>
      <c r="F400" s="132">
        <v>0</v>
      </c>
      <c r="G400" s="17"/>
      <c r="H400" s="35"/>
      <c r="I400" s="35"/>
      <c r="J400" s="35"/>
      <c r="K400" s="35"/>
      <c r="L400" s="132" t="s">
        <v>18</v>
      </c>
      <c r="M400" s="334" t="s">
        <v>688</v>
      </c>
      <c r="N400" s="132" t="s">
        <v>96</v>
      </c>
      <c r="O400" s="132">
        <v>10</v>
      </c>
      <c r="P400" s="132" t="s">
        <v>16</v>
      </c>
      <c r="R400" s="35"/>
      <c r="S400" s="35"/>
      <c r="T400" s="304">
        <v>90</v>
      </c>
      <c r="V400" s="229">
        <v>415</v>
      </c>
    </row>
    <row r="401" spans="1:22" s="230" customFormat="1" ht="15.75" customHeight="1" thickBot="1">
      <c r="A401" s="191">
        <v>80</v>
      </c>
      <c r="B401" s="188">
        <v>5</v>
      </c>
      <c r="C401" s="189" t="s">
        <v>15</v>
      </c>
      <c r="D401" s="189" t="s">
        <v>17</v>
      </c>
      <c r="E401" s="189">
        <v>100</v>
      </c>
      <c r="F401" s="189">
        <v>0</v>
      </c>
      <c r="G401" s="165"/>
      <c r="H401" s="190"/>
      <c r="I401" s="190"/>
      <c r="J401" s="190"/>
      <c r="K401" s="190"/>
      <c r="L401" s="189" t="s">
        <v>18</v>
      </c>
      <c r="M401" s="353" t="s">
        <v>688</v>
      </c>
      <c r="N401" s="189" t="s">
        <v>97</v>
      </c>
      <c r="O401" s="189">
        <v>10</v>
      </c>
      <c r="P401" s="189" t="s">
        <v>16</v>
      </c>
      <c r="Q401" s="352"/>
      <c r="R401" s="190"/>
      <c r="S401" s="190"/>
      <c r="T401" s="308">
        <v>90</v>
      </c>
      <c r="V401" s="229">
        <v>416</v>
      </c>
    </row>
    <row r="402" spans="1:22" ht="15.75" customHeight="1">
      <c r="A402" s="193">
        <v>81</v>
      </c>
      <c r="B402" s="186">
        <v>1</v>
      </c>
      <c r="C402" s="132" t="s">
        <v>15</v>
      </c>
      <c r="D402" s="132" t="s">
        <v>17</v>
      </c>
      <c r="E402" s="132">
        <v>100</v>
      </c>
      <c r="F402" s="132">
        <v>0</v>
      </c>
      <c r="G402" s="22">
        <v>890000</v>
      </c>
      <c r="H402" s="132">
        <v>462000</v>
      </c>
      <c r="I402" s="35"/>
      <c r="J402" s="35"/>
      <c r="K402" s="35"/>
      <c r="L402" s="132" t="s">
        <v>16</v>
      </c>
      <c r="N402" s="35"/>
      <c r="O402" s="35"/>
      <c r="P402" s="132" t="s">
        <v>16</v>
      </c>
      <c r="R402" s="35"/>
      <c r="S402" s="35"/>
      <c r="T402" s="304">
        <v>100</v>
      </c>
      <c r="V402" s="229">
        <v>417</v>
      </c>
    </row>
    <row r="403" spans="1:22" ht="15.75" customHeight="1">
      <c r="A403" s="193">
        <v>81</v>
      </c>
      <c r="B403" s="186">
        <v>2</v>
      </c>
      <c r="C403" s="132" t="s">
        <v>15</v>
      </c>
      <c r="D403" s="132" t="s">
        <v>17</v>
      </c>
      <c r="E403" s="132">
        <v>100</v>
      </c>
      <c r="F403" s="132">
        <v>0</v>
      </c>
      <c r="G403" s="22">
        <v>890000</v>
      </c>
      <c r="H403" s="132">
        <v>462000</v>
      </c>
      <c r="I403" s="35"/>
      <c r="J403" s="35"/>
      <c r="K403" s="35"/>
      <c r="L403" s="132" t="s">
        <v>18</v>
      </c>
      <c r="M403" s="334" t="s">
        <v>688</v>
      </c>
      <c r="N403" s="132" t="s">
        <v>26</v>
      </c>
      <c r="O403" s="132">
        <v>5</v>
      </c>
      <c r="P403" s="132" t="s">
        <v>16</v>
      </c>
      <c r="R403" s="35"/>
      <c r="S403" s="35"/>
      <c r="T403" s="304">
        <v>95</v>
      </c>
      <c r="V403" s="229">
        <v>418</v>
      </c>
    </row>
    <row r="404" spans="1:22" ht="15.75" customHeight="1">
      <c r="A404" s="193">
        <v>81</v>
      </c>
      <c r="B404" s="186">
        <v>3</v>
      </c>
      <c r="C404" s="132" t="s">
        <v>15</v>
      </c>
      <c r="D404" s="132" t="s">
        <v>17</v>
      </c>
      <c r="E404" s="132">
        <v>100</v>
      </c>
      <c r="F404" s="132">
        <v>0</v>
      </c>
      <c r="G404" s="22">
        <v>890000</v>
      </c>
      <c r="H404" s="132">
        <v>462000</v>
      </c>
      <c r="I404" s="35"/>
      <c r="J404" s="35"/>
      <c r="K404" s="35"/>
      <c r="L404" s="132" t="s">
        <v>18</v>
      </c>
      <c r="M404" s="334" t="s">
        <v>688</v>
      </c>
      <c r="N404" s="132" t="s">
        <v>98</v>
      </c>
      <c r="O404" s="132">
        <v>5</v>
      </c>
      <c r="P404" s="132" t="s">
        <v>16</v>
      </c>
      <c r="R404" s="35"/>
      <c r="S404" s="35"/>
      <c r="T404" s="304">
        <v>95</v>
      </c>
      <c r="V404" s="229">
        <v>419</v>
      </c>
    </row>
    <row r="405" spans="1:22" ht="15.75" customHeight="1">
      <c r="A405" s="193">
        <v>81</v>
      </c>
      <c r="B405" s="186">
        <v>4</v>
      </c>
      <c r="C405" s="132" t="s">
        <v>15</v>
      </c>
      <c r="D405" s="132" t="s">
        <v>17</v>
      </c>
      <c r="E405" s="132">
        <v>100</v>
      </c>
      <c r="F405" s="132">
        <v>0</v>
      </c>
      <c r="G405" s="22">
        <v>890000</v>
      </c>
      <c r="H405" s="132">
        <v>462000</v>
      </c>
      <c r="I405" s="35"/>
      <c r="J405" s="35"/>
      <c r="K405" s="35"/>
      <c r="L405" s="132" t="s">
        <v>18</v>
      </c>
      <c r="M405" s="334" t="s">
        <v>688</v>
      </c>
      <c r="N405" s="132" t="s">
        <v>98</v>
      </c>
      <c r="O405" s="132">
        <v>15</v>
      </c>
      <c r="P405" s="132" t="s">
        <v>16</v>
      </c>
      <c r="R405" s="35"/>
      <c r="S405" s="35"/>
      <c r="T405" s="304">
        <v>85</v>
      </c>
      <c r="V405" s="229">
        <v>420</v>
      </c>
    </row>
    <row r="406" spans="1:22" ht="15.75" customHeight="1" thickBot="1">
      <c r="A406" s="191">
        <v>81</v>
      </c>
      <c r="B406" s="188">
        <v>5</v>
      </c>
      <c r="C406" s="189" t="s">
        <v>15</v>
      </c>
      <c r="D406" s="189" t="s">
        <v>17</v>
      </c>
      <c r="E406" s="189">
        <v>100</v>
      </c>
      <c r="F406" s="189">
        <v>0</v>
      </c>
      <c r="G406" s="37">
        <v>890000</v>
      </c>
      <c r="H406" s="189">
        <v>462000</v>
      </c>
      <c r="I406" s="190"/>
      <c r="J406" s="190"/>
      <c r="K406" s="190"/>
      <c r="L406" s="189" t="s">
        <v>18</v>
      </c>
      <c r="M406" s="353" t="s">
        <v>688</v>
      </c>
      <c r="N406" s="189" t="s">
        <v>98</v>
      </c>
      <c r="O406" s="189">
        <v>30</v>
      </c>
      <c r="P406" s="189" t="s">
        <v>16</v>
      </c>
      <c r="Q406" s="352"/>
      <c r="R406" s="190"/>
      <c r="S406" s="190"/>
      <c r="T406" s="308">
        <v>70</v>
      </c>
      <c r="V406" s="229">
        <v>421</v>
      </c>
    </row>
    <row r="407" spans="1:22" ht="15.75" customHeight="1">
      <c r="A407" s="193">
        <v>82</v>
      </c>
      <c r="B407" s="186">
        <v>1</v>
      </c>
      <c r="C407" s="132" t="s">
        <v>15</v>
      </c>
      <c r="D407" s="132" t="s">
        <v>17</v>
      </c>
      <c r="E407" s="132">
        <v>100</v>
      </c>
      <c r="F407" s="132">
        <v>0</v>
      </c>
      <c r="G407" s="22">
        <v>543011</v>
      </c>
      <c r="H407" s="132">
        <v>258576</v>
      </c>
      <c r="I407" s="35"/>
      <c r="J407" s="35"/>
      <c r="K407" s="35">
        <v>2.1</v>
      </c>
      <c r="L407" s="132" t="s">
        <v>16</v>
      </c>
      <c r="N407" s="132"/>
      <c r="O407" s="35"/>
      <c r="P407" s="132" t="s">
        <v>16</v>
      </c>
      <c r="R407" s="35"/>
      <c r="S407" s="35"/>
      <c r="T407" s="304">
        <v>100</v>
      </c>
      <c r="V407" s="229">
        <v>422</v>
      </c>
    </row>
    <row r="408" spans="1:22" ht="15.75" customHeight="1">
      <c r="A408" s="193">
        <v>82</v>
      </c>
      <c r="B408" s="186">
        <v>2</v>
      </c>
      <c r="C408" s="132" t="s">
        <v>15</v>
      </c>
      <c r="D408" s="132" t="s">
        <v>17</v>
      </c>
      <c r="E408" s="132">
        <v>77.19</v>
      </c>
      <c r="F408" s="132">
        <v>22.81</v>
      </c>
      <c r="G408" s="17">
        <v>451633</v>
      </c>
      <c r="H408" s="35">
        <v>209089</v>
      </c>
      <c r="I408" s="35"/>
      <c r="J408" s="35"/>
      <c r="K408" s="35">
        <v>2.16</v>
      </c>
      <c r="L408" s="132" t="s">
        <v>16</v>
      </c>
      <c r="N408" s="35"/>
      <c r="O408" s="35"/>
      <c r="P408" s="132" t="s">
        <v>16</v>
      </c>
      <c r="R408" s="35"/>
      <c r="S408" s="35"/>
      <c r="T408" s="304">
        <v>100</v>
      </c>
      <c r="V408" s="229">
        <v>423</v>
      </c>
    </row>
    <row r="409" spans="1:22" ht="15.75" customHeight="1">
      <c r="A409" s="193">
        <v>82</v>
      </c>
      <c r="B409" s="186">
        <v>3</v>
      </c>
      <c r="C409" s="132" t="s">
        <v>15</v>
      </c>
      <c r="D409" s="132" t="s">
        <v>17</v>
      </c>
      <c r="E409" s="132">
        <v>57.24</v>
      </c>
      <c r="F409" s="132">
        <v>42.76</v>
      </c>
      <c r="G409" s="17">
        <v>341620</v>
      </c>
      <c r="H409" s="35">
        <v>168285</v>
      </c>
      <c r="I409" s="35"/>
      <c r="J409" s="35"/>
      <c r="K409" s="35">
        <v>2.0299999999999998</v>
      </c>
      <c r="L409" s="132" t="s">
        <v>16</v>
      </c>
      <c r="N409" s="35"/>
      <c r="O409" s="35"/>
      <c r="P409" s="132" t="s">
        <v>16</v>
      </c>
      <c r="R409" s="35"/>
      <c r="S409" s="35"/>
      <c r="T409" s="304">
        <v>100</v>
      </c>
      <c r="V409" s="229">
        <v>424</v>
      </c>
    </row>
    <row r="410" spans="1:22" ht="15.75" customHeight="1">
      <c r="A410" s="193">
        <v>82</v>
      </c>
      <c r="B410" s="186">
        <v>4</v>
      </c>
      <c r="C410" s="132" t="s">
        <v>15</v>
      </c>
      <c r="D410" s="132" t="s">
        <v>17</v>
      </c>
      <c r="E410" s="132">
        <v>26.61</v>
      </c>
      <c r="F410" s="132">
        <v>73.489999999999995</v>
      </c>
      <c r="G410" s="17">
        <v>979101</v>
      </c>
      <c r="H410" s="35">
        <v>443304</v>
      </c>
      <c r="I410" s="35"/>
      <c r="J410" s="35"/>
      <c r="K410" s="35">
        <v>2.21</v>
      </c>
      <c r="L410" s="132" t="s">
        <v>16</v>
      </c>
      <c r="O410" s="35"/>
      <c r="P410" s="132" t="s">
        <v>16</v>
      </c>
      <c r="R410" s="35"/>
      <c r="S410" s="35"/>
      <c r="T410" s="304">
        <v>100</v>
      </c>
      <c r="V410" s="229">
        <v>425</v>
      </c>
    </row>
    <row r="411" spans="1:22" ht="15.75" customHeight="1" thickBot="1">
      <c r="A411" s="191">
        <v>82</v>
      </c>
      <c r="B411" s="188">
        <v>5</v>
      </c>
      <c r="C411" s="189" t="s">
        <v>15</v>
      </c>
      <c r="D411" s="189" t="s">
        <v>17</v>
      </c>
      <c r="E411" s="189">
        <v>8.83</v>
      </c>
      <c r="F411" s="189">
        <v>91.17</v>
      </c>
      <c r="G411" s="40">
        <v>886485</v>
      </c>
      <c r="H411" s="190">
        <v>464128</v>
      </c>
      <c r="I411" s="190"/>
      <c r="J411" s="190"/>
      <c r="K411" s="190">
        <v>1.91</v>
      </c>
      <c r="L411" s="189" t="s">
        <v>16</v>
      </c>
      <c r="M411" s="352"/>
      <c r="N411" s="190"/>
      <c r="O411" s="190"/>
      <c r="P411" s="189" t="s">
        <v>16</v>
      </c>
      <c r="Q411" s="352"/>
      <c r="R411" s="190"/>
      <c r="S411" s="190"/>
      <c r="T411" s="308">
        <v>100</v>
      </c>
      <c r="V411" s="229">
        <v>426</v>
      </c>
    </row>
    <row r="412" spans="1:22" ht="15.75" customHeight="1">
      <c r="A412" s="193">
        <v>83</v>
      </c>
      <c r="B412" s="186">
        <v>1</v>
      </c>
      <c r="C412" s="132" t="s">
        <v>15</v>
      </c>
      <c r="D412" s="132" t="s">
        <v>17</v>
      </c>
      <c r="E412" s="35">
        <v>86</v>
      </c>
      <c r="F412" s="35">
        <v>14</v>
      </c>
      <c r="G412" s="22">
        <v>337028</v>
      </c>
      <c r="H412" s="35"/>
      <c r="I412" s="132"/>
      <c r="J412" s="35"/>
      <c r="K412" s="132">
        <v>1.97</v>
      </c>
      <c r="L412" s="132" t="s">
        <v>16</v>
      </c>
      <c r="N412" s="35"/>
      <c r="O412" s="35"/>
      <c r="P412" s="132" t="s">
        <v>16</v>
      </c>
      <c r="R412" s="35"/>
      <c r="S412" s="35"/>
      <c r="T412" s="304">
        <v>0</v>
      </c>
      <c r="V412" s="229">
        <v>427</v>
      </c>
    </row>
    <row r="413" spans="1:22" ht="15.75" customHeight="1">
      <c r="A413" s="193">
        <v>83</v>
      </c>
      <c r="B413" s="186">
        <v>2</v>
      </c>
      <c r="C413" s="132" t="s">
        <v>15</v>
      </c>
      <c r="D413" s="132" t="s">
        <v>17</v>
      </c>
      <c r="E413" s="35">
        <v>86</v>
      </c>
      <c r="F413" s="35">
        <v>14</v>
      </c>
      <c r="G413" s="22">
        <v>337028</v>
      </c>
      <c r="H413" s="35"/>
      <c r="I413" s="132"/>
      <c r="J413" s="35"/>
      <c r="K413" s="132">
        <v>1.97</v>
      </c>
      <c r="L413" s="132" t="s">
        <v>18</v>
      </c>
      <c r="M413" s="334" t="s">
        <v>689</v>
      </c>
      <c r="N413" s="132" t="s">
        <v>99</v>
      </c>
      <c r="O413" s="35">
        <v>5</v>
      </c>
      <c r="P413" s="132" t="s">
        <v>16</v>
      </c>
      <c r="R413" s="35"/>
      <c r="S413" s="35"/>
      <c r="T413" s="304">
        <v>95</v>
      </c>
      <c r="V413" s="229">
        <v>428</v>
      </c>
    </row>
    <row r="414" spans="1:22" ht="15.75" customHeight="1">
      <c r="A414" s="193">
        <v>83</v>
      </c>
      <c r="B414" s="186">
        <v>3</v>
      </c>
      <c r="C414" s="132" t="s">
        <v>15</v>
      </c>
      <c r="D414" s="132" t="s">
        <v>17</v>
      </c>
      <c r="E414" s="35">
        <v>86</v>
      </c>
      <c r="F414" s="35">
        <v>14</v>
      </c>
      <c r="G414" s="22">
        <v>337028</v>
      </c>
      <c r="H414" s="35"/>
      <c r="I414" s="132"/>
      <c r="J414" s="35"/>
      <c r="K414" s="132">
        <v>1.97</v>
      </c>
      <c r="L414" s="132" t="s">
        <v>18</v>
      </c>
      <c r="M414" s="334" t="s">
        <v>689</v>
      </c>
      <c r="N414" s="132" t="s">
        <v>99</v>
      </c>
      <c r="O414" s="35">
        <v>10</v>
      </c>
      <c r="P414" s="132" t="s">
        <v>16</v>
      </c>
      <c r="R414" s="35"/>
      <c r="S414" s="35"/>
      <c r="T414" s="304">
        <v>10</v>
      </c>
      <c r="V414" s="229">
        <v>429</v>
      </c>
    </row>
    <row r="415" spans="1:22" ht="15.75" customHeight="1">
      <c r="A415" s="193">
        <v>83</v>
      </c>
      <c r="B415" s="186">
        <v>4</v>
      </c>
      <c r="C415" s="132" t="s">
        <v>15</v>
      </c>
      <c r="D415" s="132" t="s">
        <v>17</v>
      </c>
      <c r="E415" s="35">
        <v>86</v>
      </c>
      <c r="F415" s="35">
        <v>14</v>
      </c>
      <c r="G415" s="22">
        <v>337028</v>
      </c>
      <c r="H415" s="35"/>
      <c r="I415" s="132"/>
      <c r="J415" s="35"/>
      <c r="K415" s="132">
        <v>1.97</v>
      </c>
      <c r="L415" s="132" t="s">
        <v>18</v>
      </c>
      <c r="M415" s="334" t="s">
        <v>689</v>
      </c>
      <c r="N415" s="132" t="s">
        <v>99</v>
      </c>
      <c r="O415" s="35">
        <v>15</v>
      </c>
      <c r="P415" s="132" t="s">
        <v>16</v>
      </c>
      <c r="R415" s="35"/>
      <c r="S415" s="35"/>
      <c r="T415" s="304">
        <v>85</v>
      </c>
      <c r="V415" s="229">
        <v>430</v>
      </c>
    </row>
    <row r="416" spans="1:22" ht="15.75" customHeight="1">
      <c r="A416" s="193">
        <v>83</v>
      </c>
      <c r="B416" s="186">
        <v>5</v>
      </c>
      <c r="C416" s="132" t="s">
        <v>15</v>
      </c>
      <c r="D416" s="132" t="s">
        <v>17</v>
      </c>
      <c r="E416" s="35">
        <v>86</v>
      </c>
      <c r="F416" s="35">
        <v>14</v>
      </c>
      <c r="G416" s="22">
        <v>337028</v>
      </c>
      <c r="H416" s="35"/>
      <c r="I416" s="132"/>
      <c r="J416" s="35"/>
      <c r="K416" s="132">
        <v>1.97</v>
      </c>
      <c r="L416" s="132" t="s">
        <v>18</v>
      </c>
      <c r="M416" s="334" t="s">
        <v>689</v>
      </c>
      <c r="N416" s="132" t="s">
        <v>99</v>
      </c>
      <c r="O416" s="35">
        <v>20</v>
      </c>
      <c r="P416" s="132" t="s">
        <v>16</v>
      </c>
      <c r="R416" s="35"/>
      <c r="S416" s="35"/>
      <c r="T416" s="304">
        <v>80</v>
      </c>
      <c r="V416" s="229">
        <v>431</v>
      </c>
    </row>
    <row r="417" spans="1:22" ht="15.75" customHeight="1">
      <c r="A417" s="193">
        <v>83</v>
      </c>
      <c r="B417" s="186">
        <v>6</v>
      </c>
      <c r="C417" s="132" t="s">
        <v>15</v>
      </c>
      <c r="D417" s="132" t="s">
        <v>17</v>
      </c>
      <c r="E417" s="35">
        <v>86</v>
      </c>
      <c r="F417" s="35">
        <v>14</v>
      </c>
      <c r="G417" s="22">
        <v>337028</v>
      </c>
      <c r="H417" s="35"/>
      <c r="I417" s="132"/>
      <c r="J417" s="35"/>
      <c r="K417" s="132">
        <v>1.97</v>
      </c>
      <c r="L417" s="132" t="s">
        <v>18</v>
      </c>
      <c r="M417" s="334" t="s">
        <v>689</v>
      </c>
      <c r="N417" s="132" t="s">
        <v>31</v>
      </c>
      <c r="O417" s="35">
        <v>10</v>
      </c>
      <c r="P417" s="132" t="s">
        <v>16</v>
      </c>
      <c r="R417" s="35"/>
      <c r="S417" s="35"/>
      <c r="T417" s="304">
        <v>90</v>
      </c>
      <c r="V417" s="229">
        <v>432</v>
      </c>
    </row>
    <row r="418" spans="1:22" ht="15.75" customHeight="1" thickBot="1">
      <c r="A418" s="191">
        <v>83</v>
      </c>
      <c r="B418" s="188">
        <v>7</v>
      </c>
      <c r="C418" s="189" t="s">
        <v>15</v>
      </c>
      <c r="D418" s="189" t="s">
        <v>17</v>
      </c>
      <c r="E418" s="190">
        <v>86</v>
      </c>
      <c r="F418" s="190">
        <v>14</v>
      </c>
      <c r="G418" s="37">
        <v>337028</v>
      </c>
      <c r="H418" s="190"/>
      <c r="I418" s="189"/>
      <c r="J418" s="190"/>
      <c r="K418" s="189">
        <v>1.97</v>
      </c>
      <c r="L418" s="189" t="s">
        <v>18</v>
      </c>
      <c r="M418" s="353" t="s">
        <v>689</v>
      </c>
      <c r="N418" s="189" t="s">
        <v>50</v>
      </c>
      <c r="O418" s="190">
        <v>10</v>
      </c>
      <c r="P418" s="189" t="s">
        <v>16</v>
      </c>
      <c r="Q418" s="352"/>
      <c r="R418" s="190"/>
      <c r="S418" s="190"/>
      <c r="T418" s="304">
        <v>90</v>
      </c>
      <c r="V418" s="229">
        <v>433</v>
      </c>
    </row>
    <row r="419" spans="1:22" ht="15.75" customHeight="1">
      <c r="A419" s="193">
        <v>84</v>
      </c>
      <c r="B419" s="186">
        <v>1</v>
      </c>
      <c r="C419" s="132" t="s">
        <v>15</v>
      </c>
      <c r="D419" s="132" t="s">
        <v>17</v>
      </c>
      <c r="E419" s="35">
        <v>92</v>
      </c>
      <c r="F419" s="35">
        <v>8</v>
      </c>
      <c r="G419" s="17"/>
      <c r="H419" s="35"/>
      <c r="I419" s="35"/>
      <c r="J419" s="35"/>
      <c r="K419" s="35"/>
      <c r="L419" s="132" t="s">
        <v>16</v>
      </c>
      <c r="N419" s="35"/>
      <c r="O419" s="35"/>
      <c r="P419" s="132" t="s">
        <v>16</v>
      </c>
      <c r="R419" s="35"/>
      <c r="S419" s="35"/>
      <c r="T419" s="305">
        <v>100</v>
      </c>
      <c r="V419" s="229">
        <v>434</v>
      </c>
    </row>
    <row r="420" spans="1:22" ht="15.75" customHeight="1">
      <c r="A420" s="193">
        <v>84</v>
      </c>
      <c r="B420" s="186">
        <v>2</v>
      </c>
      <c r="C420" s="132" t="s">
        <v>15</v>
      </c>
      <c r="D420" s="132" t="s">
        <v>17</v>
      </c>
      <c r="E420" s="35">
        <v>92</v>
      </c>
      <c r="F420" s="35">
        <v>8</v>
      </c>
      <c r="G420" s="17"/>
      <c r="H420" s="35"/>
      <c r="I420" s="35"/>
      <c r="J420" s="35"/>
      <c r="K420" s="35"/>
      <c r="L420" s="132" t="s">
        <v>18</v>
      </c>
      <c r="M420" s="334" t="s">
        <v>688</v>
      </c>
      <c r="N420" s="35" t="s">
        <v>100</v>
      </c>
      <c r="O420" s="35">
        <v>0.1</v>
      </c>
      <c r="P420" s="132" t="s">
        <v>16</v>
      </c>
      <c r="R420" s="35"/>
      <c r="S420" s="35"/>
      <c r="T420" s="298">
        <v>99.9</v>
      </c>
      <c r="V420" s="229">
        <v>435</v>
      </c>
    </row>
    <row r="421" spans="1:22" ht="15.75" customHeight="1">
      <c r="A421" s="193">
        <v>84</v>
      </c>
      <c r="B421" s="186">
        <v>3</v>
      </c>
      <c r="C421" s="132" t="s">
        <v>15</v>
      </c>
      <c r="D421" s="132" t="s">
        <v>17</v>
      </c>
      <c r="E421" s="35">
        <v>92</v>
      </c>
      <c r="F421" s="35">
        <v>8</v>
      </c>
      <c r="G421" s="17"/>
      <c r="H421" s="35"/>
      <c r="I421" s="35"/>
      <c r="J421" s="35"/>
      <c r="K421" s="35"/>
      <c r="L421" s="132" t="s">
        <v>18</v>
      </c>
      <c r="M421" s="334" t="s">
        <v>688</v>
      </c>
      <c r="N421" s="35" t="s">
        <v>100</v>
      </c>
      <c r="O421" s="35">
        <v>0.5</v>
      </c>
      <c r="P421" s="132" t="s">
        <v>16</v>
      </c>
      <c r="R421" s="35"/>
      <c r="S421" s="35"/>
      <c r="T421" s="298">
        <v>99.5</v>
      </c>
      <c r="V421" s="229">
        <v>436</v>
      </c>
    </row>
    <row r="422" spans="1:22" ht="15.75" customHeight="1">
      <c r="A422" s="193">
        <v>84</v>
      </c>
      <c r="B422" s="186">
        <v>4</v>
      </c>
      <c r="C422" s="132" t="s">
        <v>15</v>
      </c>
      <c r="D422" s="132" t="s">
        <v>17</v>
      </c>
      <c r="E422" s="35">
        <v>92</v>
      </c>
      <c r="F422" s="35">
        <v>8</v>
      </c>
      <c r="G422" s="17"/>
      <c r="H422" s="35"/>
      <c r="I422" s="35"/>
      <c r="J422" s="35"/>
      <c r="K422" s="35"/>
      <c r="L422" s="132" t="s">
        <v>18</v>
      </c>
      <c r="M422" s="334" t="s">
        <v>688</v>
      </c>
      <c r="N422" s="35" t="s">
        <v>100</v>
      </c>
      <c r="O422" s="35">
        <v>1</v>
      </c>
      <c r="P422" s="132" t="s">
        <v>16</v>
      </c>
      <c r="R422" s="35"/>
      <c r="S422" s="35"/>
      <c r="T422" s="298">
        <v>99</v>
      </c>
      <c r="V422" s="229">
        <v>437</v>
      </c>
    </row>
    <row r="423" spans="1:22" ht="15.75" customHeight="1">
      <c r="A423" s="193">
        <v>84</v>
      </c>
      <c r="B423" s="186">
        <v>5</v>
      </c>
      <c r="C423" s="132" t="s">
        <v>15</v>
      </c>
      <c r="D423" s="132" t="s">
        <v>17</v>
      </c>
      <c r="E423" s="35">
        <v>92</v>
      </c>
      <c r="F423" s="35">
        <v>8</v>
      </c>
      <c r="G423" s="17"/>
      <c r="H423" s="35"/>
      <c r="I423" s="35"/>
      <c r="J423" s="35"/>
      <c r="K423" s="35"/>
      <c r="L423" s="132" t="s">
        <v>18</v>
      </c>
      <c r="M423" s="334" t="s">
        <v>688</v>
      </c>
      <c r="N423" s="35" t="s">
        <v>100</v>
      </c>
      <c r="O423" s="35">
        <v>3</v>
      </c>
      <c r="P423" s="132" t="s">
        <v>16</v>
      </c>
      <c r="R423" s="35"/>
      <c r="S423" s="35"/>
      <c r="T423" s="298">
        <v>97</v>
      </c>
      <c r="V423" s="229">
        <v>438</v>
      </c>
    </row>
    <row r="424" spans="1:22" ht="15.75" customHeight="1">
      <c r="A424" s="193">
        <v>84</v>
      </c>
      <c r="B424" s="186">
        <v>6</v>
      </c>
      <c r="C424" s="132" t="s">
        <v>15</v>
      </c>
      <c r="D424" s="132" t="s">
        <v>17</v>
      </c>
      <c r="E424" s="35">
        <v>92</v>
      </c>
      <c r="F424" s="35">
        <v>8</v>
      </c>
      <c r="G424" s="17"/>
      <c r="H424" s="35"/>
      <c r="I424" s="35"/>
      <c r="J424" s="35"/>
      <c r="K424" s="35"/>
      <c r="L424" s="132" t="s">
        <v>18</v>
      </c>
      <c r="M424" s="334" t="s">
        <v>688</v>
      </c>
      <c r="N424" s="35" t="s">
        <v>101</v>
      </c>
      <c r="O424" s="35">
        <v>0.1</v>
      </c>
      <c r="P424" s="132" t="s">
        <v>16</v>
      </c>
      <c r="R424" s="35"/>
      <c r="S424" s="35"/>
      <c r="T424" s="298">
        <v>99.9</v>
      </c>
      <c r="V424" s="229">
        <v>439</v>
      </c>
    </row>
    <row r="425" spans="1:22" ht="15.75" customHeight="1">
      <c r="A425" s="193">
        <v>84</v>
      </c>
      <c r="B425" s="186">
        <v>7</v>
      </c>
      <c r="C425" s="132" t="s">
        <v>15</v>
      </c>
      <c r="D425" s="132" t="s">
        <v>17</v>
      </c>
      <c r="E425" s="35">
        <v>92</v>
      </c>
      <c r="F425" s="35">
        <v>8</v>
      </c>
      <c r="G425" s="17"/>
      <c r="H425" s="35"/>
      <c r="I425" s="35"/>
      <c r="J425" s="35"/>
      <c r="K425" s="35"/>
      <c r="L425" s="132" t="s">
        <v>18</v>
      </c>
      <c r="M425" s="334" t="s">
        <v>688</v>
      </c>
      <c r="N425" s="35" t="s">
        <v>101</v>
      </c>
      <c r="O425" s="35">
        <v>0.5</v>
      </c>
      <c r="P425" s="132" t="s">
        <v>16</v>
      </c>
      <c r="R425" s="35"/>
      <c r="S425" s="35"/>
      <c r="T425" s="298">
        <v>99.5</v>
      </c>
      <c r="V425" s="229">
        <v>440</v>
      </c>
    </row>
    <row r="426" spans="1:22" ht="15.75" customHeight="1">
      <c r="A426" s="193">
        <v>84</v>
      </c>
      <c r="B426" s="186">
        <v>8</v>
      </c>
      <c r="C426" s="132" t="s">
        <v>15</v>
      </c>
      <c r="D426" s="132" t="s">
        <v>17</v>
      </c>
      <c r="E426" s="35">
        <v>92</v>
      </c>
      <c r="F426" s="35">
        <v>8</v>
      </c>
      <c r="G426" s="17"/>
      <c r="H426" s="35"/>
      <c r="I426" s="35"/>
      <c r="J426" s="35"/>
      <c r="K426" s="35"/>
      <c r="L426" s="132" t="s">
        <v>18</v>
      </c>
      <c r="M426" s="334" t="s">
        <v>688</v>
      </c>
      <c r="N426" s="35" t="s">
        <v>101</v>
      </c>
      <c r="O426" s="35">
        <v>1</v>
      </c>
      <c r="P426" s="132" t="s">
        <v>16</v>
      </c>
      <c r="R426" s="35"/>
      <c r="S426" s="35"/>
      <c r="T426" s="298">
        <v>99</v>
      </c>
      <c r="V426" s="229">
        <v>441</v>
      </c>
    </row>
    <row r="427" spans="1:22" ht="15.75" customHeight="1" thickBot="1">
      <c r="A427" s="191">
        <v>84</v>
      </c>
      <c r="B427" s="188">
        <v>9</v>
      </c>
      <c r="C427" s="189" t="s">
        <v>15</v>
      </c>
      <c r="D427" s="189" t="s">
        <v>17</v>
      </c>
      <c r="E427" s="190">
        <v>92</v>
      </c>
      <c r="F427" s="190">
        <v>8</v>
      </c>
      <c r="G427" s="40"/>
      <c r="H427" s="190"/>
      <c r="I427" s="190"/>
      <c r="J427" s="190"/>
      <c r="K427" s="190"/>
      <c r="L427" s="189" t="s">
        <v>18</v>
      </c>
      <c r="M427" s="353" t="s">
        <v>688</v>
      </c>
      <c r="N427" s="190" t="s">
        <v>101</v>
      </c>
      <c r="O427" s="190">
        <v>3</v>
      </c>
      <c r="P427" s="189" t="s">
        <v>16</v>
      </c>
      <c r="Q427" s="352"/>
      <c r="R427" s="190"/>
      <c r="S427" s="190"/>
      <c r="T427" s="307">
        <v>97</v>
      </c>
      <c r="V427" s="229">
        <v>442</v>
      </c>
    </row>
    <row r="428" spans="1:22" ht="15.75" customHeight="1">
      <c r="A428" s="193">
        <v>85</v>
      </c>
      <c r="B428" s="186">
        <v>1</v>
      </c>
      <c r="C428" s="132" t="s">
        <v>15</v>
      </c>
      <c r="D428" s="132" t="s">
        <v>17</v>
      </c>
      <c r="E428" s="35">
        <v>90.9</v>
      </c>
      <c r="F428" s="35">
        <v>9.1</v>
      </c>
      <c r="G428" s="17">
        <v>1560000</v>
      </c>
      <c r="H428" s="35">
        <v>1110000</v>
      </c>
      <c r="I428" s="35"/>
      <c r="J428" s="35"/>
      <c r="K428" s="35">
        <v>1.41</v>
      </c>
      <c r="L428" s="132" t="s">
        <v>16</v>
      </c>
      <c r="N428" s="35"/>
      <c r="O428" s="35"/>
      <c r="P428" s="132" t="s">
        <v>16</v>
      </c>
      <c r="R428" s="35"/>
      <c r="S428" s="35"/>
      <c r="T428" s="304">
        <v>100</v>
      </c>
      <c r="V428" s="229">
        <v>443</v>
      </c>
    </row>
    <row r="429" spans="1:22" ht="15.75" customHeight="1">
      <c r="A429" s="193">
        <v>85</v>
      </c>
      <c r="B429" s="186">
        <v>2</v>
      </c>
      <c r="C429" s="132" t="s">
        <v>15</v>
      </c>
      <c r="D429" s="132" t="s">
        <v>17</v>
      </c>
      <c r="E429" s="35">
        <v>69.900000000000006</v>
      </c>
      <c r="F429" s="35">
        <v>30.1</v>
      </c>
      <c r="G429" s="17">
        <v>1730000</v>
      </c>
      <c r="H429" s="35">
        <v>1210000</v>
      </c>
      <c r="I429" s="35"/>
      <c r="J429" s="35"/>
      <c r="K429" s="35">
        <v>1.43</v>
      </c>
      <c r="L429" s="132" t="s">
        <v>16</v>
      </c>
      <c r="N429" s="35"/>
      <c r="O429" s="35"/>
      <c r="P429" s="132" t="s">
        <v>16</v>
      </c>
      <c r="R429" s="35"/>
      <c r="S429" s="35"/>
      <c r="T429" s="304">
        <v>100</v>
      </c>
      <c r="V429" s="229">
        <v>444</v>
      </c>
    </row>
    <row r="430" spans="1:22" ht="15.75" customHeight="1">
      <c r="A430" s="193">
        <v>85</v>
      </c>
      <c r="B430" s="186">
        <v>3</v>
      </c>
      <c r="C430" s="132" t="s">
        <v>15</v>
      </c>
      <c r="D430" s="132" t="s">
        <v>17</v>
      </c>
      <c r="E430" s="35">
        <v>46.7</v>
      </c>
      <c r="F430" s="35">
        <v>53.3</v>
      </c>
      <c r="G430" s="17">
        <v>980000</v>
      </c>
      <c r="H430" s="35">
        <v>710000</v>
      </c>
      <c r="I430" s="35"/>
      <c r="J430" s="35"/>
      <c r="K430" s="35">
        <v>1.37</v>
      </c>
      <c r="L430" s="132" t="s">
        <v>16</v>
      </c>
      <c r="N430" s="35"/>
      <c r="O430" s="35"/>
      <c r="P430" s="132" t="s">
        <v>16</v>
      </c>
      <c r="R430" s="35"/>
      <c r="S430" s="35"/>
      <c r="T430" s="304">
        <v>100</v>
      </c>
      <c r="V430" s="229">
        <v>445</v>
      </c>
    </row>
    <row r="431" spans="1:22" ht="15.75" customHeight="1">
      <c r="A431" s="193">
        <v>85</v>
      </c>
      <c r="B431" s="186">
        <v>4</v>
      </c>
      <c r="C431" s="132" t="s">
        <v>15</v>
      </c>
      <c r="D431" s="132" t="s">
        <v>17</v>
      </c>
      <c r="E431" s="35">
        <v>66.7</v>
      </c>
      <c r="F431" s="35">
        <v>33.299999999999997</v>
      </c>
      <c r="G431" s="17">
        <v>2000000</v>
      </c>
      <c r="H431" s="35">
        <v>1230000</v>
      </c>
      <c r="I431" s="35"/>
      <c r="J431" s="35"/>
      <c r="K431" s="35">
        <v>1.63</v>
      </c>
      <c r="L431" s="132" t="s">
        <v>16</v>
      </c>
      <c r="N431" s="35"/>
      <c r="O431" s="35"/>
      <c r="P431" s="132" t="s">
        <v>16</v>
      </c>
      <c r="R431" s="35"/>
      <c r="S431" s="35"/>
      <c r="T431" s="304">
        <v>100</v>
      </c>
      <c r="V431" s="229">
        <v>446</v>
      </c>
    </row>
    <row r="432" spans="1:22" ht="15.75" customHeight="1" thickBot="1">
      <c r="A432" s="191">
        <v>85</v>
      </c>
      <c r="B432" s="188">
        <v>5</v>
      </c>
      <c r="C432" s="189" t="s">
        <v>15</v>
      </c>
      <c r="D432" s="189" t="s">
        <v>17</v>
      </c>
      <c r="E432" s="190">
        <v>53.2</v>
      </c>
      <c r="F432" s="190">
        <v>46.8</v>
      </c>
      <c r="G432" s="40">
        <v>1470000</v>
      </c>
      <c r="H432" s="190">
        <v>1120000</v>
      </c>
      <c r="I432" s="190"/>
      <c r="J432" s="190"/>
      <c r="K432" s="190">
        <v>1.32</v>
      </c>
      <c r="L432" s="189" t="s">
        <v>16</v>
      </c>
      <c r="M432" s="352"/>
      <c r="N432" s="190"/>
      <c r="O432" s="190"/>
      <c r="P432" s="189" t="s">
        <v>16</v>
      </c>
      <c r="Q432" s="352"/>
      <c r="R432" s="190"/>
      <c r="S432" s="190"/>
      <c r="T432" s="304">
        <v>100</v>
      </c>
      <c r="V432" s="229">
        <v>447</v>
      </c>
    </row>
    <row r="433" spans="1:22" ht="15.75" customHeight="1">
      <c r="A433" s="193">
        <v>86</v>
      </c>
      <c r="B433" s="186">
        <v>1</v>
      </c>
      <c r="C433" s="132" t="s">
        <v>15</v>
      </c>
      <c r="D433" s="132" t="s">
        <v>17</v>
      </c>
      <c r="E433" s="132">
        <v>98</v>
      </c>
      <c r="F433" s="132">
        <v>2</v>
      </c>
      <c r="G433" s="17"/>
      <c r="H433" s="35"/>
      <c r="I433" s="35"/>
      <c r="J433" s="35"/>
      <c r="K433" s="35"/>
      <c r="L433" s="132" t="s">
        <v>16</v>
      </c>
      <c r="N433" s="35"/>
      <c r="O433" s="35"/>
      <c r="P433" s="132" t="s">
        <v>16</v>
      </c>
      <c r="R433" s="35"/>
      <c r="S433" s="35"/>
      <c r="T433" s="309">
        <v>100</v>
      </c>
      <c r="V433" s="229">
        <v>448</v>
      </c>
    </row>
    <row r="434" spans="1:22" ht="15.75" customHeight="1">
      <c r="A434" s="193">
        <v>86</v>
      </c>
      <c r="B434" s="186">
        <v>2</v>
      </c>
      <c r="C434" s="132" t="s">
        <v>15</v>
      </c>
      <c r="D434" s="132" t="s">
        <v>17</v>
      </c>
      <c r="E434" s="132">
        <v>98</v>
      </c>
      <c r="F434" s="132">
        <v>2</v>
      </c>
      <c r="G434" s="17"/>
      <c r="H434" s="35"/>
      <c r="I434" s="35"/>
      <c r="K434" s="35"/>
      <c r="L434" s="132" t="s">
        <v>18</v>
      </c>
      <c r="M434" s="334" t="s">
        <v>688</v>
      </c>
      <c r="N434" s="132" t="s">
        <v>102</v>
      </c>
      <c r="O434" s="132">
        <v>6</v>
      </c>
      <c r="P434" s="132" t="s">
        <v>16</v>
      </c>
      <c r="R434" s="35"/>
      <c r="S434" s="35"/>
      <c r="T434" s="304">
        <v>94</v>
      </c>
      <c r="V434" s="229">
        <v>449</v>
      </c>
    </row>
    <row r="435" spans="1:22" ht="15.75" customHeight="1" thickBot="1">
      <c r="A435" s="191">
        <v>86</v>
      </c>
      <c r="B435" s="188">
        <v>3</v>
      </c>
      <c r="C435" s="189" t="s">
        <v>15</v>
      </c>
      <c r="D435" s="189" t="s">
        <v>17</v>
      </c>
      <c r="E435" s="189">
        <v>98</v>
      </c>
      <c r="F435" s="189">
        <v>2</v>
      </c>
      <c r="G435" s="40"/>
      <c r="H435" s="190"/>
      <c r="I435" s="190"/>
      <c r="J435" s="230"/>
      <c r="K435" s="190"/>
      <c r="L435" s="189" t="s">
        <v>18</v>
      </c>
      <c r="M435" s="353" t="s">
        <v>688</v>
      </c>
      <c r="N435" s="189" t="s">
        <v>103</v>
      </c>
      <c r="O435" s="189">
        <v>6</v>
      </c>
      <c r="P435" s="189" t="s">
        <v>16</v>
      </c>
      <c r="Q435" s="352"/>
      <c r="R435" s="190"/>
      <c r="S435" s="190"/>
      <c r="T435" s="308">
        <v>94</v>
      </c>
      <c r="V435" s="229">
        <v>450</v>
      </c>
    </row>
    <row r="436" spans="1:22" ht="15.75" customHeight="1">
      <c r="A436" s="193">
        <v>87</v>
      </c>
      <c r="B436" s="186">
        <v>1</v>
      </c>
      <c r="C436" s="132" t="s">
        <v>15</v>
      </c>
      <c r="D436" s="132" t="s">
        <v>17</v>
      </c>
      <c r="E436" s="132">
        <v>97</v>
      </c>
      <c r="F436" s="132">
        <v>3</v>
      </c>
      <c r="G436" s="22">
        <v>280000</v>
      </c>
      <c r="H436" s="35"/>
      <c r="I436" s="35"/>
      <c r="J436" s="35"/>
      <c r="K436" s="35"/>
      <c r="L436" s="132" t="s">
        <v>16</v>
      </c>
      <c r="N436" s="35"/>
      <c r="O436" s="35"/>
      <c r="P436" s="132" t="s">
        <v>16</v>
      </c>
      <c r="R436" s="35"/>
      <c r="S436" s="35"/>
      <c r="T436" s="304">
        <v>100</v>
      </c>
      <c r="V436" s="229">
        <v>451</v>
      </c>
    </row>
    <row r="437" spans="1:22" ht="15.75" customHeight="1">
      <c r="A437" s="193">
        <v>87</v>
      </c>
      <c r="B437" s="186">
        <v>2</v>
      </c>
      <c r="C437" s="132" t="s">
        <v>15</v>
      </c>
      <c r="D437" s="132" t="s">
        <v>17</v>
      </c>
      <c r="E437" s="132">
        <v>97</v>
      </c>
      <c r="F437" s="132">
        <v>3</v>
      </c>
      <c r="G437" s="22">
        <v>280000</v>
      </c>
      <c r="H437" s="35"/>
      <c r="I437" s="35"/>
      <c r="K437" s="35"/>
      <c r="L437" s="132" t="s">
        <v>18</v>
      </c>
      <c r="M437" s="334" t="s">
        <v>689</v>
      </c>
      <c r="N437" s="132" t="s">
        <v>104</v>
      </c>
      <c r="O437" s="132">
        <v>5</v>
      </c>
      <c r="P437" s="132" t="s">
        <v>16</v>
      </c>
      <c r="R437" s="35"/>
      <c r="S437" s="35"/>
      <c r="T437" s="304">
        <v>95</v>
      </c>
      <c r="V437" s="229">
        <v>452</v>
      </c>
    </row>
    <row r="438" spans="1:22" ht="15.75" customHeight="1">
      <c r="A438" s="193">
        <v>87</v>
      </c>
      <c r="B438" s="186">
        <v>3</v>
      </c>
      <c r="C438" s="132" t="s">
        <v>15</v>
      </c>
      <c r="D438" s="132" t="s">
        <v>17</v>
      </c>
      <c r="E438" s="132">
        <v>97</v>
      </c>
      <c r="F438" s="132">
        <v>3</v>
      </c>
      <c r="G438" s="22">
        <v>280000</v>
      </c>
      <c r="H438" s="35"/>
      <c r="I438" s="35"/>
      <c r="K438" s="35"/>
      <c r="L438" s="132" t="s">
        <v>18</v>
      </c>
      <c r="M438" s="334" t="s">
        <v>689</v>
      </c>
      <c r="N438" s="132" t="s">
        <v>104</v>
      </c>
      <c r="O438" s="132">
        <v>10</v>
      </c>
      <c r="P438" s="132" t="s">
        <v>16</v>
      </c>
      <c r="R438" s="35"/>
      <c r="S438" s="35"/>
      <c r="T438" s="304">
        <v>90</v>
      </c>
      <c r="V438" s="229">
        <v>453</v>
      </c>
    </row>
    <row r="439" spans="1:22" ht="15.75" customHeight="1">
      <c r="A439" s="193">
        <v>87</v>
      </c>
      <c r="B439" s="186">
        <v>4</v>
      </c>
      <c r="C439" s="132" t="s">
        <v>15</v>
      </c>
      <c r="D439" s="132" t="s">
        <v>17</v>
      </c>
      <c r="E439" s="132">
        <v>97</v>
      </c>
      <c r="F439" s="132">
        <v>3</v>
      </c>
      <c r="G439" s="22">
        <v>280000</v>
      </c>
      <c r="H439" s="35"/>
      <c r="I439" s="35"/>
      <c r="K439" s="35"/>
      <c r="L439" s="132" t="s">
        <v>18</v>
      </c>
      <c r="M439" s="334" t="s">
        <v>689</v>
      </c>
      <c r="N439" s="132" t="s">
        <v>104</v>
      </c>
      <c r="O439" s="132">
        <v>15</v>
      </c>
      <c r="P439" s="132" t="s">
        <v>16</v>
      </c>
      <c r="R439" s="35"/>
      <c r="S439" s="35"/>
      <c r="T439" s="304">
        <v>85</v>
      </c>
      <c r="V439" s="229">
        <v>454</v>
      </c>
    </row>
    <row r="440" spans="1:22" ht="15.75" customHeight="1">
      <c r="A440" s="193">
        <v>87</v>
      </c>
      <c r="B440" s="186">
        <v>5</v>
      </c>
      <c r="C440" s="132" t="s">
        <v>15</v>
      </c>
      <c r="D440" s="132" t="s">
        <v>17</v>
      </c>
      <c r="E440" s="132">
        <v>97</v>
      </c>
      <c r="F440" s="132">
        <v>3</v>
      </c>
      <c r="G440" s="22">
        <v>280000</v>
      </c>
      <c r="H440" s="35"/>
      <c r="I440" s="35"/>
      <c r="K440" s="35"/>
      <c r="L440" s="132" t="s">
        <v>18</v>
      </c>
      <c r="M440" s="334" t="s">
        <v>689</v>
      </c>
      <c r="N440" s="132" t="s">
        <v>104</v>
      </c>
      <c r="O440" s="132">
        <v>17</v>
      </c>
      <c r="P440" s="132" t="s">
        <v>16</v>
      </c>
      <c r="R440" s="35"/>
      <c r="S440" s="35"/>
      <c r="T440" s="304">
        <v>83</v>
      </c>
      <c r="V440" s="229">
        <v>455</v>
      </c>
    </row>
    <row r="441" spans="1:22" ht="15.75" customHeight="1">
      <c r="A441" s="193">
        <v>87</v>
      </c>
      <c r="B441" s="186">
        <v>6</v>
      </c>
      <c r="C441" s="132" t="s">
        <v>15</v>
      </c>
      <c r="D441" s="132" t="s">
        <v>17</v>
      </c>
      <c r="E441" s="132">
        <v>97</v>
      </c>
      <c r="F441" s="132">
        <v>3</v>
      </c>
      <c r="G441" s="22">
        <v>280000</v>
      </c>
      <c r="H441" s="35"/>
      <c r="I441" s="35"/>
      <c r="K441" s="35"/>
      <c r="L441" s="132" t="s">
        <v>18</v>
      </c>
      <c r="M441" s="334" t="s">
        <v>689</v>
      </c>
      <c r="N441" s="132" t="s">
        <v>105</v>
      </c>
      <c r="O441" s="132">
        <v>5</v>
      </c>
      <c r="P441" s="132" t="s">
        <v>16</v>
      </c>
      <c r="R441" s="35"/>
      <c r="S441" s="35"/>
      <c r="T441" s="304">
        <v>95</v>
      </c>
      <c r="V441" s="229">
        <v>456</v>
      </c>
    </row>
    <row r="442" spans="1:22" ht="15.75" customHeight="1">
      <c r="A442" s="193">
        <v>87</v>
      </c>
      <c r="B442" s="186">
        <v>7</v>
      </c>
      <c r="C442" s="132" t="s">
        <v>15</v>
      </c>
      <c r="D442" s="132" t="s">
        <v>17</v>
      </c>
      <c r="E442" s="132">
        <v>97</v>
      </c>
      <c r="F442" s="132">
        <v>3</v>
      </c>
      <c r="G442" s="22">
        <v>280000</v>
      </c>
      <c r="H442" s="35"/>
      <c r="I442" s="35"/>
      <c r="K442" s="35"/>
      <c r="L442" s="132" t="s">
        <v>18</v>
      </c>
      <c r="M442" s="334" t="s">
        <v>689</v>
      </c>
      <c r="N442" s="132" t="s">
        <v>105</v>
      </c>
      <c r="O442" s="132">
        <v>10</v>
      </c>
      <c r="P442" s="132" t="s">
        <v>16</v>
      </c>
      <c r="R442" s="35"/>
      <c r="S442" s="35"/>
      <c r="T442" s="304">
        <v>90</v>
      </c>
      <c r="V442" s="229">
        <v>457</v>
      </c>
    </row>
    <row r="443" spans="1:22" ht="15.75" customHeight="1">
      <c r="A443" s="193">
        <v>87</v>
      </c>
      <c r="B443" s="186">
        <v>8</v>
      </c>
      <c r="C443" s="132" t="s">
        <v>15</v>
      </c>
      <c r="D443" s="132" t="s">
        <v>17</v>
      </c>
      <c r="E443" s="132">
        <v>97</v>
      </c>
      <c r="F443" s="132">
        <v>3</v>
      </c>
      <c r="G443" s="22">
        <v>280000</v>
      </c>
      <c r="H443" s="35"/>
      <c r="I443" s="35"/>
      <c r="K443" s="35"/>
      <c r="L443" s="132" t="s">
        <v>18</v>
      </c>
      <c r="M443" s="334" t="s">
        <v>689</v>
      </c>
      <c r="N443" s="132" t="s">
        <v>105</v>
      </c>
      <c r="O443" s="132">
        <v>13</v>
      </c>
      <c r="P443" s="132" t="s">
        <v>16</v>
      </c>
      <c r="R443" s="35"/>
      <c r="S443" s="35"/>
      <c r="T443" s="304">
        <v>87</v>
      </c>
      <c r="V443" s="229">
        <v>458</v>
      </c>
    </row>
    <row r="444" spans="1:22" ht="15.75" customHeight="1">
      <c r="A444" s="193">
        <v>87</v>
      </c>
      <c r="B444" s="186">
        <v>9</v>
      </c>
      <c r="C444" s="132" t="s">
        <v>15</v>
      </c>
      <c r="D444" s="132" t="s">
        <v>17</v>
      </c>
      <c r="E444" s="132">
        <v>97</v>
      </c>
      <c r="F444" s="132">
        <v>3</v>
      </c>
      <c r="G444" s="22">
        <v>280000</v>
      </c>
      <c r="H444" s="35"/>
      <c r="I444" s="35"/>
      <c r="K444" s="35"/>
      <c r="L444" s="132" t="s">
        <v>18</v>
      </c>
      <c r="M444" s="334" t="s">
        <v>689</v>
      </c>
      <c r="N444" s="132" t="s">
        <v>32</v>
      </c>
      <c r="O444" s="132">
        <v>5</v>
      </c>
      <c r="P444" s="132" t="s">
        <v>16</v>
      </c>
      <c r="R444" s="35"/>
      <c r="S444" s="35"/>
      <c r="T444" s="304">
        <v>95</v>
      </c>
      <c r="V444" s="229">
        <v>459</v>
      </c>
    </row>
    <row r="445" spans="1:22" ht="15.75" customHeight="1">
      <c r="A445" s="193">
        <v>87</v>
      </c>
      <c r="B445" s="186">
        <v>10</v>
      </c>
      <c r="C445" s="132" t="s">
        <v>15</v>
      </c>
      <c r="D445" s="132" t="s">
        <v>17</v>
      </c>
      <c r="E445" s="132">
        <v>97</v>
      </c>
      <c r="F445" s="132">
        <v>3</v>
      </c>
      <c r="G445" s="22">
        <v>280000</v>
      </c>
      <c r="H445" s="35"/>
      <c r="I445" s="35"/>
      <c r="K445" s="35"/>
      <c r="L445" s="132" t="s">
        <v>18</v>
      </c>
      <c r="M445" s="334" t="s">
        <v>689</v>
      </c>
      <c r="N445" s="132" t="s">
        <v>32</v>
      </c>
      <c r="O445" s="132">
        <v>10</v>
      </c>
      <c r="P445" s="132" t="s">
        <v>16</v>
      </c>
      <c r="R445" s="35"/>
      <c r="S445" s="35"/>
      <c r="T445" s="304">
        <v>90</v>
      </c>
      <c r="V445" s="229">
        <v>460</v>
      </c>
    </row>
    <row r="446" spans="1:22" ht="15.75" customHeight="1">
      <c r="A446" s="193">
        <v>87</v>
      </c>
      <c r="B446" s="186">
        <v>11</v>
      </c>
      <c r="C446" s="132" t="s">
        <v>15</v>
      </c>
      <c r="D446" s="132" t="s">
        <v>17</v>
      </c>
      <c r="E446" s="132">
        <v>97</v>
      </c>
      <c r="F446" s="132">
        <v>3</v>
      </c>
      <c r="G446" s="22">
        <v>280000</v>
      </c>
      <c r="H446" s="35"/>
      <c r="I446" s="35"/>
      <c r="K446" s="35"/>
      <c r="L446" s="132" t="s">
        <v>18</v>
      </c>
      <c r="M446" s="334" t="s">
        <v>689</v>
      </c>
      <c r="N446" s="132" t="s">
        <v>32</v>
      </c>
      <c r="O446" s="132">
        <v>15</v>
      </c>
      <c r="P446" s="132" t="s">
        <v>16</v>
      </c>
      <c r="R446" s="35"/>
      <c r="S446" s="35"/>
      <c r="T446" s="304">
        <v>85</v>
      </c>
      <c r="V446" s="229">
        <v>461</v>
      </c>
    </row>
    <row r="447" spans="1:22" ht="15.75" customHeight="1">
      <c r="A447" s="193">
        <v>87</v>
      </c>
      <c r="B447" s="186">
        <v>12</v>
      </c>
      <c r="C447" s="132" t="s">
        <v>15</v>
      </c>
      <c r="D447" s="132" t="s">
        <v>17</v>
      </c>
      <c r="E447" s="132">
        <v>97</v>
      </c>
      <c r="F447" s="132">
        <v>3</v>
      </c>
      <c r="G447" s="22">
        <v>280000</v>
      </c>
      <c r="H447" s="35"/>
      <c r="I447" s="35"/>
      <c r="K447" s="35"/>
      <c r="L447" s="132" t="s">
        <v>18</v>
      </c>
      <c r="M447" s="334" t="s">
        <v>689</v>
      </c>
      <c r="N447" s="132" t="s">
        <v>32</v>
      </c>
      <c r="O447" s="132">
        <v>20</v>
      </c>
      <c r="P447" s="132" t="s">
        <v>16</v>
      </c>
      <c r="R447" s="35"/>
      <c r="S447" s="35"/>
      <c r="T447" s="304">
        <v>80</v>
      </c>
      <c r="V447" s="229">
        <v>462</v>
      </c>
    </row>
    <row r="448" spans="1:22" ht="15.75" customHeight="1">
      <c r="A448" s="193">
        <v>87</v>
      </c>
      <c r="B448" s="186">
        <v>13</v>
      </c>
      <c r="C448" s="132" t="s">
        <v>15</v>
      </c>
      <c r="D448" s="132" t="s">
        <v>17</v>
      </c>
      <c r="E448" s="132">
        <v>97</v>
      </c>
      <c r="F448" s="132">
        <v>3</v>
      </c>
      <c r="G448" s="22">
        <v>280000</v>
      </c>
      <c r="H448" s="35"/>
      <c r="I448" s="35"/>
      <c r="K448" s="35"/>
      <c r="L448" s="132" t="s">
        <v>18</v>
      </c>
      <c r="M448" s="334" t="s">
        <v>689</v>
      </c>
      <c r="N448" s="132" t="s">
        <v>53</v>
      </c>
      <c r="O448" s="132">
        <v>5</v>
      </c>
      <c r="P448" s="132" t="s">
        <v>16</v>
      </c>
      <c r="R448" s="35"/>
      <c r="S448" s="35"/>
      <c r="T448" s="304">
        <v>95</v>
      </c>
      <c r="V448" s="229">
        <v>463</v>
      </c>
    </row>
    <row r="449" spans="1:22" ht="15.75" customHeight="1">
      <c r="A449" s="193">
        <v>87</v>
      </c>
      <c r="B449" s="186">
        <v>14</v>
      </c>
      <c r="C449" s="132" t="s">
        <v>15</v>
      </c>
      <c r="D449" s="132" t="s">
        <v>17</v>
      </c>
      <c r="E449" s="132">
        <v>97</v>
      </c>
      <c r="F449" s="132">
        <v>3</v>
      </c>
      <c r="G449" s="22">
        <v>280000</v>
      </c>
      <c r="H449" s="35"/>
      <c r="I449" s="35"/>
      <c r="K449" s="35"/>
      <c r="L449" s="132" t="s">
        <v>18</v>
      </c>
      <c r="M449" s="334" t="s">
        <v>689</v>
      </c>
      <c r="N449" s="132" t="s">
        <v>53</v>
      </c>
      <c r="O449" s="132">
        <v>10</v>
      </c>
      <c r="P449" s="132" t="s">
        <v>16</v>
      </c>
      <c r="R449" s="35"/>
      <c r="S449" s="35"/>
      <c r="T449" s="304">
        <v>90</v>
      </c>
      <c r="V449" s="229">
        <v>464</v>
      </c>
    </row>
    <row r="450" spans="1:22" ht="15.75" customHeight="1">
      <c r="A450" s="193">
        <v>87</v>
      </c>
      <c r="B450" s="186">
        <v>15</v>
      </c>
      <c r="C450" s="132" t="s">
        <v>15</v>
      </c>
      <c r="D450" s="132" t="s">
        <v>17</v>
      </c>
      <c r="E450" s="132">
        <v>97</v>
      </c>
      <c r="F450" s="132">
        <v>3</v>
      </c>
      <c r="G450" s="22">
        <v>280000</v>
      </c>
      <c r="H450" s="35"/>
      <c r="I450" s="35"/>
      <c r="K450" s="35"/>
      <c r="L450" s="132" t="s">
        <v>18</v>
      </c>
      <c r="M450" s="334" t="s">
        <v>689</v>
      </c>
      <c r="N450" s="132" t="s">
        <v>53</v>
      </c>
      <c r="O450" s="132">
        <v>13</v>
      </c>
      <c r="P450" s="132" t="s">
        <v>16</v>
      </c>
      <c r="R450" s="35"/>
      <c r="S450" s="35"/>
      <c r="T450" s="304">
        <v>87</v>
      </c>
      <c r="V450" s="229">
        <v>465</v>
      </c>
    </row>
    <row r="451" spans="1:22" ht="15.75" customHeight="1">
      <c r="A451" s="193">
        <v>87</v>
      </c>
      <c r="B451" s="186">
        <v>16</v>
      </c>
      <c r="C451" s="132" t="s">
        <v>15</v>
      </c>
      <c r="D451" s="132" t="s">
        <v>17</v>
      </c>
      <c r="E451" s="132">
        <v>97</v>
      </c>
      <c r="F451" s="132">
        <v>3</v>
      </c>
      <c r="G451" s="22">
        <v>280000</v>
      </c>
      <c r="H451" s="35"/>
      <c r="I451" s="35"/>
      <c r="K451" s="35"/>
      <c r="L451" s="132" t="s">
        <v>18</v>
      </c>
      <c r="M451" s="334" t="s">
        <v>689</v>
      </c>
      <c r="N451" s="132" t="s">
        <v>31</v>
      </c>
      <c r="O451" s="132">
        <v>5</v>
      </c>
      <c r="P451" s="132" t="s">
        <v>16</v>
      </c>
      <c r="R451" s="35"/>
      <c r="S451" s="35"/>
      <c r="T451" s="304">
        <v>95</v>
      </c>
      <c r="V451" s="229">
        <v>466</v>
      </c>
    </row>
    <row r="452" spans="1:22" ht="15.75" customHeight="1">
      <c r="A452" s="193">
        <v>87</v>
      </c>
      <c r="B452" s="186">
        <v>17</v>
      </c>
      <c r="C452" s="132" t="s">
        <v>15</v>
      </c>
      <c r="D452" s="132" t="s">
        <v>17</v>
      </c>
      <c r="E452" s="132">
        <v>97</v>
      </c>
      <c r="F452" s="132">
        <v>3</v>
      </c>
      <c r="G452" s="22">
        <v>280000</v>
      </c>
      <c r="H452" s="35"/>
      <c r="I452" s="35"/>
      <c r="K452" s="35"/>
      <c r="L452" s="132" t="s">
        <v>18</v>
      </c>
      <c r="M452" s="334" t="s">
        <v>689</v>
      </c>
      <c r="N452" s="132" t="s">
        <v>31</v>
      </c>
      <c r="O452" s="132">
        <v>10</v>
      </c>
      <c r="P452" s="132" t="s">
        <v>16</v>
      </c>
      <c r="R452" s="35"/>
      <c r="S452" s="35"/>
      <c r="T452" s="304">
        <v>90</v>
      </c>
      <c r="V452" s="229">
        <v>467</v>
      </c>
    </row>
    <row r="453" spans="1:22" ht="15.75" customHeight="1">
      <c r="A453" s="193">
        <v>87</v>
      </c>
      <c r="B453" s="186">
        <v>18</v>
      </c>
      <c r="C453" s="132" t="s">
        <v>15</v>
      </c>
      <c r="D453" s="132" t="s">
        <v>17</v>
      </c>
      <c r="E453" s="132">
        <v>97</v>
      </c>
      <c r="F453" s="132">
        <v>3</v>
      </c>
      <c r="G453" s="22">
        <v>280000</v>
      </c>
      <c r="H453" s="35"/>
      <c r="I453" s="35"/>
      <c r="K453" s="35"/>
      <c r="L453" s="132" t="s">
        <v>18</v>
      </c>
      <c r="M453" s="334" t="s">
        <v>689</v>
      </c>
      <c r="N453" s="132" t="s">
        <v>31</v>
      </c>
      <c r="O453" s="132">
        <v>13</v>
      </c>
      <c r="P453" s="132" t="s">
        <v>16</v>
      </c>
      <c r="R453" s="35"/>
      <c r="S453" s="35"/>
      <c r="T453" s="304">
        <v>87</v>
      </c>
      <c r="V453" s="229">
        <v>468</v>
      </c>
    </row>
    <row r="454" spans="1:22" ht="15.75" customHeight="1">
      <c r="A454" s="193">
        <v>87</v>
      </c>
      <c r="B454" s="186">
        <v>19</v>
      </c>
      <c r="C454" s="132" t="s">
        <v>15</v>
      </c>
      <c r="D454" s="132" t="s">
        <v>17</v>
      </c>
      <c r="E454" s="132">
        <v>97</v>
      </c>
      <c r="F454" s="132">
        <v>3</v>
      </c>
      <c r="G454" s="22">
        <v>280000</v>
      </c>
      <c r="H454" s="35"/>
      <c r="I454" s="35"/>
      <c r="K454" s="35"/>
      <c r="L454" s="132" t="s">
        <v>18</v>
      </c>
      <c r="M454" s="334" t="s">
        <v>689</v>
      </c>
      <c r="N454" s="132" t="s">
        <v>106</v>
      </c>
      <c r="O454" s="132">
        <v>5</v>
      </c>
      <c r="P454" s="132" t="s">
        <v>16</v>
      </c>
      <c r="R454" s="35"/>
      <c r="S454" s="35"/>
      <c r="T454" s="304">
        <v>95</v>
      </c>
      <c r="V454" s="229">
        <v>469</v>
      </c>
    </row>
    <row r="455" spans="1:22" ht="15.75" customHeight="1">
      <c r="A455" s="193">
        <v>87</v>
      </c>
      <c r="B455" s="186">
        <v>20</v>
      </c>
      <c r="C455" s="132" t="s">
        <v>15</v>
      </c>
      <c r="D455" s="132" t="s">
        <v>17</v>
      </c>
      <c r="E455" s="132">
        <v>97</v>
      </c>
      <c r="F455" s="132">
        <v>3</v>
      </c>
      <c r="G455" s="22">
        <v>280000</v>
      </c>
      <c r="H455" s="35"/>
      <c r="I455" s="35"/>
      <c r="K455" s="35"/>
      <c r="L455" s="132" t="s">
        <v>18</v>
      </c>
      <c r="M455" s="334" t="s">
        <v>689</v>
      </c>
      <c r="N455" s="132" t="s">
        <v>106</v>
      </c>
      <c r="O455" s="132">
        <v>10</v>
      </c>
      <c r="P455" s="132" t="s">
        <v>16</v>
      </c>
      <c r="R455" s="35"/>
      <c r="S455" s="35"/>
      <c r="T455" s="304">
        <v>90</v>
      </c>
      <c r="V455" s="229">
        <v>470</v>
      </c>
    </row>
    <row r="456" spans="1:22" ht="15.75" customHeight="1">
      <c r="A456" s="193">
        <v>87</v>
      </c>
      <c r="B456" s="186">
        <v>21</v>
      </c>
      <c r="C456" s="132" t="s">
        <v>15</v>
      </c>
      <c r="D456" s="132" t="s">
        <v>17</v>
      </c>
      <c r="E456" s="132">
        <v>97</v>
      </c>
      <c r="F456" s="132">
        <v>3</v>
      </c>
      <c r="G456" s="22">
        <v>280000</v>
      </c>
      <c r="H456" s="35"/>
      <c r="I456" s="35"/>
      <c r="K456" s="35"/>
      <c r="L456" s="132" t="s">
        <v>18</v>
      </c>
      <c r="M456" s="334" t="s">
        <v>689</v>
      </c>
      <c r="N456" s="132" t="s">
        <v>106</v>
      </c>
      <c r="O456" s="132">
        <v>15</v>
      </c>
      <c r="P456" s="132" t="s">
        <v>16</v>
      </c>
      <c r="R456" s="35"/>
      <c r="S456" s="35"/>
      <c r="T456" s="304">
        <v>85</v>
      </c>
      <c r="V456" s="229">
        <v>471</v>
      </c>
    </row>
    <row r="457" spans="1:22" ht="15.75" customHeight="1" thickBot="1">
      <c r="A457" s="191">
        <v>87</v>
      </c>
      <c r="B457" s="188">
        <v>22</v>
      </c>
      <c r="C457" s="189" t="s">
        <v>15</v>
      </c>
      <c r="D457" s="189" t="s">
        <v>17</v>
      </c>
      <c r="E457" s="189">
        <v>97</v>
      </c>
      <c r="F457" s="189">
        <v>3</v>
      </c>
      <c r="G457" s="166">
        <v>280000</v>
      </c>
      <c r="H457" s="190"/>
      <c r="I457" s="190"/>
      <c r="J457" s="230"/>
      <c r="K457" s="190"/>
      <c r="L457" s="189" t="s">
        <v>18</v>
      </c>
      <c r="M457" s="353" t="s">
        <v>689</v>
      </c>
      <c r="N457" s="189" t="s">
        <v>106</v>
      </c>
      <c r="O457" s="189">
        <v>20</v>
      </c>
      <c r="P457" s="189" t="s">
        <v>16</v>
      </c>
      <c r="Q457" s="352"/>
      <c r="R457" s="190"/>
      <c r="S457" s="190"/>
      <c r="T457" s="304">
        <v>80</v>
      </c>
      <c r="V457" s="229">
        <v>472</v>
      </c>
    </row>
    <row r="458" spans="1:22" ht="15.75" customHeight="1">
      <c r="A458" s="193">
        <v>88</v>
      </c>
      <c r="B458" s="186">
        <v>1</v>
      </c>
      <c r="C458" s="132" t="s">
        <v>15</v>
      </c>
      <c r="D458" s="132" t="s">
        <v>17</v>
      </c>
      <c r="E458" s="132">
        <v>98.91</v>
      </c>
      <c r="F458" s="132">
        <v>1.0900000000000001</v>
      </c>
      <c r="G458" s="22">
        <v>267000</v>
      </c>
      <c r="H458" s="35"/>
      <c r="I458" s="35"/>
      <c r="J458" s="35"/>
      <c r="K458" s="35"/>
      <c r="L458" s="132" t="s">
        <v>16</v>
      </c>
      <c r="N458" s="35"/>
      <c r="O458" s="35"/>
      <c r="P458" s="132" t="s">
        <v>16</v>
      </c>
      <c r="R458" s="35"/>
      <c r="S458" s="35"/>
      <c r="T458" s="309">
        <v>100</v>
      </c>
      <c r="V458" s="229">
        <v>473</v>
      </c>
    </row>
    <row r="459" spans="1:22" ht="15.75" customHeight="1">
      <c r="A459" s="193">
        <v>88</v>
      </c>
      <c r="B459" s="186">
        <v>2</v>
      </c>
      <c r="C459" s="132" t="s">
        <v>15</v>
      </c>
      <c r="D459" s="132" t="s">
        <v>17</v>
      </c>
      <c r="E459" s="132">
        <v>98.91</v>
      </c>
      <c r="F459" s="132">
        <v>1.0900000000000001</v>
      </c>
      <c r="G459" s="22">
        <v>267000</v>
      </c>
      <c r="H459" s="35"/>
      <c r="I459" s="35"/>
      <c r="K459" s="35"/>
      <c r="L459" s="132" t="s">
        <v>18</v>
      </c>
      <c r="M459" s="334" t="s">
        <v>688</v>
      </c>
      <c r="N459" s="132" t="s">
        <v>26</v>
      </c>
      <c r="O459" s="132">
        <v>1</v>
      </c>
      <c r="P459" s="132" t="s">
        <v>16</v>
      </c>
      <c r="R459" s="35"/>
      <c r="S459" s="35"/>
      <c r="T459" s="304">
        <v>99</v>
      </c>
      <c r="V459" s="229">
        <v>474</v>
      </c>
    </row>
    <row r="460" spans="1:22" ht="15.75" customHeight="1">
      <c r="A460" s="193">
        <v>88</v>
      </c>
      <c r="B460" s="186">
        <v>3</v>
      </c>
      <c r="C460" s="132" t="s">
        <v>15</v>
      </c>
      <c r="D460" s="132" t="s">
        <v>17</v>
      </c>
      <c r="E460" s="132">
        <v>98.91</v>
      </c>
      <c r="F460" s="132">
        <v>1.0900000000000001</v>
      </c>
      <c r="G460" s="22">
        <v>267000</v>
      </c>
      <c r="H460" s="35"/>
      <c r="I460" s="35"/>
      <c r="K460" s="35"/>
      <c r="L460" s="132" t="s">
        <v>18</v>
      </c>
      <c r="M460" s="334" t="s">
        <v>688</v>
      </c>
      <c r="N460" s="132" t="s">
        <v>26</v>
      </c>
      <c r="O460" s="132">
        <v>3</v>
      </c>
      <c r="P460" s="132" t="s">
        <v>16</v>
      </c>
      <c r="R460" s="35"/>
      <c r="S460" s="35"/>
      <c r="T460" s="304">
        <v>97</v>
      </c>
      <c r="V460" s="229">
        <v>475</v>
      </c>
    </row>
    <row r="461" spans="1:22" ht="15.75" customHeight="1">
      <c r="A461" s="193">
        <v>88</v>
      </c>
      <c r="B461" s="186">
        <v>4</v>
      </c>
      <c r="C461" s="132" t="s">
        <v>15</v>
      </c>
      <c r="D461" s="132" t="s">
        <v>17</v>
      </c>
      <c r="E461" s="132">
        <v>98.91</v>
      </c>
      <c r="F461" s="132">
        <v>1.0900000000000001</v>
      </c>
      <c r="G461" s="22">
        <v>267000</v>
      </c>
      <c r="H461" s="35"/>
      <c r="I461" s="35"/>
      <c r="K461" s="35"/>
      <c r="L461" s="132" t="s">
        <v>18</v>
      </c>
      <c r="M461" s="334" t="s">
        <v>688</v>
      </c>
      <c r="N461" s="132" t="s">
        <v>26</v>
      </c>
      <c r="O461" s="132">
        <v>5</v>
      </c>
      <c r="P461" s="132" t="s">
        <v>16</v>
      </c>
      <c r="R461" s="35"/>
      <c r="S461" s="35"/>
      <c r="T461" s="304">
        <v>95</v>
      </c>
      <c r="V461" s="229">
        <v>476</v>
      </c>
    </row>
    <row r="462" spans="1:22" ht="15.75" customHeight="1" thickBot="1">
      <c r="A462" s="191">
        <v>88</v>
      </c>
      <c r="B462" s="188">
        <v>5</v>
      </c>
      <c r="C462" s="189" t="s">
        <v>15</v>
      </c>
      <c r="D462" s="189" t="s">
        <v>17</v>
      </c>
      <c r="E462" s="189">
        <v>98.91</v>
      </c>
      <c r="F462" s="189">
        <v>1.0900000000000001</v>
      </c>
      <c r="G462" s="166">
        <v>267000</v>
      </c>
      <c r="H462" s="190"/>
      <c r="I462" s="190"/>
      <c r="J462" s="230"/>
      <c r="K462" s="190"/>
      <c r="L462" s="189" t="s">
        <v>18</v>
      </c>
      <c r="M462" s="353" t="s">
        <v>688</v>
      </c>
      <c r="N462" s="189" t="s">
        <v>26</v>
      </c>
      <c r="O462" s="189">
        <v>10</v>
      </c>
      <c r="P462" s="189" t="s">
        <v>16</v>
      </c>
      <c r="Q462" s="352"/>
      <c r="R462" s="190"/>
      <c r="S462" s="190"/>
      <c r="T462" s="308">
        <v>90</v>
      </c>
      <c r="V462" s="229">
        <v>477</v>
      </c>
    </row>
    <row r="463" spans="1:22" ht="15.75" customHeight="1">
      <c r="A463" s="193">
        <v>89</v>
      </c>
      <c r="B463" s="186">
        <v>1</v>
      </c>
      <c r="C463" s="132" t="s">
        <v>15</v>
      </c>
      <c r="D463" s="132" t="s">
        <v>17</v>
      </c>
      <c r="E463" s="132">
        <v>88</v>
      </c>
      <c r="F463" s="132">
        <v>12</v>
      </c>
      <c r="G463" s="23"/>
      <c r="L463" s="132" t="s">
        <v>16</v>
      </c>
      <c r="P463" s="132" t="s">
        <v>16</v>
      </c>
      <c r="T463" s="304">
        <v>100</v>
      </c>
      <c r="V463" s="229">
        <v>478</v>
      </c>
    </row>
    <row r="464" spans="1:22" ht="15.75" customHeight="1">
      <c r="A464" s="193">
        <v>89</v>
      </c>
      <c r="B464" s="186">
        <v>2</v>
      </c>
      <c r="C464" s="132" t="s">
        <v>15</v>
      </c>
      <c r="D464" s="132" t="s">
        <v>17</v>
      </c>
      <c r="E464" s="132">
        <v>88</v>
      </c>
      <c r="F464" s="132">
        <v>12</v>
      </c>
      <c r="G464" s="23"/>
      <c r="L464" s="132" t="s">
        <v>18</v>
      </c>
      <c r="M464" s="334" t="s">
        <v>688</v>
      </c>
      <c r="N464" s="132" t="s">
        <v>107</v>
      </c>
      <c r="O464" s="132">
        <v>1</v>
      </c>
      <c r="P464" s="132" t="s">
        <v>16</v>
      </c>
      <c r="T464" s="304">
        <v>99</v>
      </c>
      <c r="V464" s="229">
        <v>479</v>
      </c>
    </row>
    <row r="465" spans="1:22" ht="15.75" customHeight="1">
      <c r="A465" s="193">
        <v>89</v>
      </c>
      <c r="B465" s="186">
        <v>3</v>
      </c>
      <c r="C465" s="132" t="s">
        <v>15</v>
      </c>
      <c r="D465" s="132" t="s">
        <v>17</v>
      </c>
      <c r="E465" s="132">
        <v>88</v>
      </c>
      <c r="F465" s="132">
        <v>12</v>
      </c>
      <c r="G465" s="23"/>
      <c r="L465" s="132" t="s">
        <v>18</v>
      </c>
      <c r="M465" s="334" t="s">
        <v>688</v>
      </c>
      <c r="N465" s="132" t="s">
        <v>107</v>
      </c>
      <c r="O465" s="132">
        <v>5</v>
      </c>
      <c r="P465" s="132" t="s">
        <v>16</v>
      </c>
      <c r="T465" s="304">
        <v>95</v>
      </c>
      <c r="V465" s="229">
        <v>480</v>
      </c>
    </row>
    <row r="466" spans="1:22" ht="15.75" customHeight="1" thickBot="1">
      <c r="A466" s="191">
        <v>89</v>
      </c>
      <c r="B466" s="188">
        <v>4</v>
      </c>
      <c r="C466" s="189" t="s">
        <v>15</v>
      </c>
      <c r="D466" s="189" t="s">
        <v>17</v>
      </c>
      <c r="E466" s="189">
        <v>88</v>
      </c>
      <c r="F466" s="189">
        <v>12</v>
      </c>
      <c r="G466" s="167"/>
      <c r="H466" s="195"/>
      <c r="I466" s="195"/>
      <c r="J466" s="230"/>
      <c r="K466" s="195"/>
      <c r="L466" s="189" t="s">
        <v>18</v>
      </c>
      <c r="M466" s="353" t="s">
        <v>688</v>
      </c>
      <c r="N466" s="189" t="s">
        <v>107</v>
      </c>
      <c r="O466" s="189">
        <v>10</v>
      </c>
      <c r="P466" s="189" t="s">
        <v>16</v>
      </c>
      <c r="Q466" s="352"/>
      <c r="R466" s="195"/>
      <c r="S466" s="195"/>
      <c r="T466" s="304">
        <v>90</v>
      </c>
      <c r="V466" s="229">
        <v>481</v>
      </c>
    </row>
    <row r="467" spans="1:22" ht="15.75" customHeight="1">
      <c r="A467" s="193">
        <v>90</v>
      </c>
      <c r="B467" s="186">
        <v>1</v>
      </c>
      <c r="C467" s="132" t="s">
        <v>15</v>
      </c>
      <c r="D467" s="132" t="s">
        <v>17</v>
      </c>
      <c r="E467" s="132">
        <v>82.13</v>
      </c>
      <c r="F467" s="132">
        <v>17.87</v>
      </c>
      <c r="G467" s="23"/>
      <c r="L467" s="132" t="s">
        <v>16</v>
      </c>
      <c r="P467" s="132" t="s">
        <v>16</v>
      </c>
      <c r="T467" s="309">
        <v>100</v>
      </c>
      <c r="V467" s="229">
        <v>482</v>
      </c>
    </row>
    <row r="468" spans="1:22" ht="15.75" customHeight="1">
      <c r="A468" s="193">
        <v>90</v>
      </c>
      <c r="B468" s="186">
        <v>2</v>
      </c>
      <c r="C468" s="132" t="s">
        <v>15</v>
      </c>
      <c r="D468" s="132" t="s">
        <v>17</v>
      </c>
      <c r="E468" s="132">
        <v>77.45</v>
      </c>
      <c r="F468" s="132">
        <v>22.55</v>
      </c>
      <c r="G468" s="23"/>
      <c r="L468" s="132" t="s">
        <v>16</v>
      </c>
      <c r="P468" s="132" t="s">
        <v>16</v>
      </c>
      <c r="T468" s="304">
        <v>100</v>
      </c>
      <c r="V468" s="229">
        <v>483</v>
      </c>
    </row>
    <row r="469" spans="1:22" ht="15.75" customHeight="1" thickBot="1">
      <c r="A469" s="193">
        <v>90</v>
      </c>
      <c r="B469" s="186">
        <v>3</v>
      </c>
      <c r="C469" s="132" t="s">
        <v>15</v>
      </c>
      <c r="D469" s="132" t="s">
        <v>17</v>
      </c>
      <c r="E469" s="132">
        <v>43.35</v>
      </c>
      <c r="F469" s="132">
        <v>56.65</v>
      </c>
      <c r="G469" s="167"/>
      <c r="L469" s="132" t="s">
        <v>16</v>
      </c>
      <c r="P469" s="132" t="s">
        <v>16</v>
      </c>
      <c r="T469" s="308">
        <v>100</v>
      </c>
      <c r="V469" s="229">
        <v>484</v>
      </c>
    </row>
    <row r="470" spans="1:22" ht="15.75" customHeight="1">
      <c r="A470" s="173">
        <v>91</v>
      </c>
      <c r="B470" s="184">
        <v>1</v>
      </c>
      <c r="C470" s="174" t="s">
        <v>15</v>
      </c>
      <c r="D470" s="174" t="s">
        <v>17</v>
      </c>
      <c r="E470" s="174">
        <v>100</v>
      </c>
      <c r="F470" s="174">
        <v>0</v>
      </c>
      <c r="G470" s="22">
        <v>350000</v>
      </c>
      <c r="H470" s="176"/>
      <c r="I470" s="176"/>
      <c r="J470" s="176"/>
      <c r="K470" s="176"/>
      <c r="L470" s="174" t="s">
        <v>16</v>
      </c>
      <c r="M470" s="350"/>
      <c r="N470" s="176"/>
      <c r="O470" s="176"/>
      <c r="P470" s="174" t="s">
        <v>16</v>
      </c>
      <c r="Q470" s="350"/>
      <c r="R470" s="176"/>
      <c r="S470" s="176"/>
      <c r="T470" s="304">
        <v>100</v>
      </c>
      <c r="V470" s="229">
        <v>485</v>
      </c>
    </row>
    <row r="471" spans="1:22" ht="15.75" customHeight="1">
      <c r="A471" s="185">
        <v>91</v>
      </c>
      <c r="B471" s="186">
        <v>2</v>
      </c>
      <c r="C471" s="132" t="s">
        <v>15</v>
      </c>
      <c r="D471" s="132" t="s">
        <v>17</v>
      </c>
      <c r="E471" s="132">
        <v>100</v>
      </c>
      <c r="F471" s="132">
        <v>0</v>
      </c>
      <c r="G471" s="22">
        <v>350000</v>
      </c>
      <c r="H471" s="35"/>
      <c r="I471" s="35"/>
      <c r="K471" s="35"/>
      <c r="L471" s="132" t="s">
        <v>18</v>
      </c>
      <c r="M471" s="334" t="s">
        <v>688</v>
      </c>
      <c r="N471" s="132" t="s">
        <v>108</v>
      </c>
      <c r="O471" s="132">
        <v>10</v>
      </c>
      <c r="P471" s="132" t="s">
        <v>16</v>
      </c>
      <c r="R471" s="35"/>
      <c r="S471" s="35"/>
      <c r="T471" s="304">
        <v>90</v>
      </c>
      <c r="V471" s="229">
        <v>486</v>
      </c>
    </row>
    <row r="472" spans="1:22" ht="15.75" customHeight="1">
      <c r="A472" s="185">
        <v>91</v>
      </c>
      <c r="B472" s="186">
        <v>3</v>
      </c>
      <c r="C472" s="132" t="s">
        <v>15</v>
      </c>
      <c r="D472" s="132" t="s">
        <v>17</v>
      </c>
      <c r="E472" s="132">
        <v>100</v>
      </c>
      <c r="F472" s="132">
        <v>0</v>
      </c>
      <c r="G472" s="22">
        <v>350000</v>
      </c>
      <c r="H472" s="35"/>
      <c r="I472" s="35"/>
      <c r="K472" s="35"/>
      <c r="L472" s="132" t="s">
        <v>18</v>
      </c>
      <c r="M472" s="334" t="s">
        <v>688</v>
      </c>
      <c r="N472" s="132" t="s">
        <v>109</v>
      </c>
      <c r="O472" s="132">
        <v>10</v>
      </c>
      <c r="P472" s="132" t="s">
        <v>16</v>
      </c>
      <c r="R472" s="35"/>
      <c r="S472" s="35"/>
      <c r="T472" s="304">
        <v>90</v>
      </c>
      <c r="V472" s="229">
        <v>487</v>
      </c>
    </row>
    <row r="473" spans="1:22" ht="15.75" customHeight="1" thickBot="1">
      <c r="A473" s="187">
        <v>91</v>
      </c>
      <c r="B473" s="188">
        <v>4</v>
      </c>
      <c r="C473" s="189" t="s">
        <v>15</v>
      </c>
      <c r="D473" s="189" t="s">
        <v>17</v>
      </c>
      <c r="E473" s="189">
        <v>100</v>
      </c>
      <c r="F473" s="189">
        <v>0</v>
      </c>
      <c r="G473" s="166">
        <v>350000</v>
      </c>
      <c r="H473" s="190"/>
      <c r="I473" s="190"/>
      <c r="J473" s="230"/>
      <c r="K473" s="190"/>
      <c r="L473" s="189" t="s">
        <v>18</v>
      </c>
      <c r="M473" s="353" t="s">
        <v>688</v>
      </c>
      <c r="N473" s="189" t="s">
        <v>108</v>
      </c>
      <c r="O473" s="189">
        <v>10</v>
      </c>
      <c r="P473" s="189" t="s">
        <v>18</v>
      </c>
      <c r="Q473" s="353" t="s">
        <v>688</v>
      </c>
      <c r="R473" s="189" t="s">
        <v>109</v>
      </c>
      <c r="S473" s="189">
        <v>10</v>
      </c>
      <c r="T473" s="308">
        <v>80</v>
      </c>
      <c r="V473" s="229">
        <v>488</v>
      </c>
    </row>
    <row r="474" spans="1:22" ht="15.75" customHeight="1">
      <c r="A474" s="173">
        <v>92</v>
      </c>
      <c r="B474" s="184">
        <v>1</v>
      </c>
      <c r="C474" s="174" t="s">
        <v>15</v>
      </c>
      <c r="D474" s="174" t="s">
        <v>17</v>
      </c>
      <c r="E474" s="132">
        <v>100</v>
      </c>
      <c r="F474" s="132">
        <v>0</v>
      </c>
      <c r="G474" s="132"/>
      <c r="H474" s="132"/>
      <c r="I474" s="132"/>
      <c r="J474" s="132"/>
      <c r="K474" s="132"/>
      <c r="L474" s="132" t="s">
        <v>16</v>
      </c>
      <c r="N474" s="132"/>
      <c r="O474" s="132"/>
      <c r="P474" s="132" t="s">
        <v>16</v>
      </c>
      <c r="R474" s="132"/>
      <c r="S474" s="132"/>
      <c r="T474" s="304">
        <v>100</v>
      </c>
      <c r="V474" s="229">
        <v>489</v>
      </c>
    </row>
    <row r="475" spans="1:22" ht="15.75" customHeight="1">
      <c r="A475" s="185">
        <v>92</v>
      </c>
      <c r="B475" s="186">
        <v>2</v>
      </c>
      <c r="C475" s="132" t="s">
        <v>15</v>
      </c>
      <c r="D475" s="132" t="s">
        <v>17</v>
      </c>
      <c r="E475" s="132">
        <v>100</v>
      </c>
      <c r="F475" s="132">
        <v>0</v>
      </c>
      <c r="G475" s="132"/>
      <c r="H475" s="132"/>
      <c r="I475" s="132"/>
      <c r="J475" s="132"/>
      <c r="K475" s="132"/>
      <c r="L475" s="132" t="s">
        <v>18</v>
      </c>
      <c r="M475" s="334" t="s">
        <v>689</v>
      </c>
      <c r="N475" s="132" t="s">
        <v>74</v>
      </c>
      <c r="O475" s="132">
        <v>5</v>
      </c>
      <c r="P475" s="132" t="s">
        <v>16</v>
      </c>
      <c r="R475" s="132"/>
      <c r="S475" s="132"/>
      <c r="T475" s="304">
        <v>95</v>
      </c>
      <c r="V475" s="229">
        <v>490</v>
      </c>
    </row>
    <row r="476" spans="1:22" ht="15.75" customHeight="1">
      <c r="A476" s="185">
        <v>92</v>
      </c>
      <c r="B476" s="186">
        <v>3</v>
      </c>
      <c r="C476" s="132" t="s">
        <v>15</v>
      </c>
      <c r="D476" s="132" t="s">
        <v>17</v>
      </c>
      <c r="E476" s="132">
        <v>100</v>
      </c>
      <c r="F476" s="132">
        <v>0</v>
      </c>
      <c r="G476" s="132"/>
      <c r="H476" s="132"/>
      <c r="I476" s="132"/>
      <c r="J476" s="132"/>
      <c r="K476" s="132"/>
      <c r="L476" s="132" t="s">
        <v>18</v>
      </c>
      <c r="M476" s="334" t="s">
        <v>689</v>
      </c>
      <c r="N476" s="132" t="s">
        <v>74</v>
      </c>
      <c r="O476" s="132">
        <v>4.95</v>
      </c>
      <c r="P476" s="132" t="s">
        <v>18</v>
      </c>
      <c r="Q476" s="334" t="s">
        <v>688</v>
      </c>
      <c r="R476" s="132" t="s">
        <v>110</v>
      </c>
      <c r="S476" s="132">
        <v>1</v>
      </c>
      <c r="T476" s="304">
        <v>94.05</v>
      </c>
      <c r="V476" s="229">
        <v>491</v>
      </c>
    </row>
    <row r="477" spans="1:22" ht="15.75" customHeight="1">
      <c r="A477" s="185">
        <v>92</v>
      </c>
      <c r="B477" s="186">
        <v>4</v>
      </c>
      <c r="C477" s="132" t="s">
        <v>15</v>
      </c>
      <c r="D477" s="132" t="s">
        <v>17</v>
      </c>
      <c r="E477" s="132">
        <v>100</v>
      </c>
      <c r="F477" s="132">
        <v>0</v>
      </c>
      <c r="G477" s="132"/>
      <c r="H477" s="132"/>
      <c r="I477" s="132"/>
      <c r="J477" s="132"/>
      <c r="K477" s="132"/>
      <c r="L477" s="132" t="s">
        <v>18</v>
      </c>
      <c r="M477" s="334" t="s">
        <v>689</v>
      </c>
      <c r="N477" s="132" t="s">
        <v>74</v>
      </c>
      <c r="O477" s="132">
        <v>4.9000000000000004</v>
      </c>
      <c r="P477" s="132" t="s">
        <v>18</v>
      </c>
      <c r="Q477" s="334" t="s">
        <v>688</v>
      </c>
      <c r="R477" s="132" t="s">
        <v>110</v>
      </c>
      <c r="S477" s="132">
        <v>2</v>
      </c>
      <c r="T477" s="304">
        <v>93.1</v>
      </c>
      <c r="V477" s="229">
        <v>492</v>
      </c>
    </row>
    <row r="478" spans="1:22" ht="15.75" customHeight="1" thickBot="1">
      <c r="A478" s="235">
        <v>92</v>
      </c>
      <c r="B478" s="236">
        <v>5</v>
      </c>
      <c r="C478" s="200" t="s">
        <v>15</v>
      </c>
      <c r="D478" s="200" t="s">
        <v>17</v>
      </c>
      <c r="E478" s="200">
        <v>100</v>
      </c>
      <c r="F478" s="200">
        <v>0</v>
      </c>
      <c r="G478" s="200"/>
      <c r="H478" s="200"/>
      <c r="I478" s="200"/>
      <c r="J478" s="200"/>
      <c r="K478" s="200"/>
      <c r="L478" s="200" t="s">
        <v>18</v>
      </c>
      <c r="M478" s="353" t="s">
        <v>689</v>
      </c>
      <c r="N478" s="200" t="s">
        <v>74</v>
      </c>
      <c r="O478" s="200">
        <v>4.75</v>
      </c>
      <c r="P478" s="200" t="s">
        <v>18</v>
      </c>
      <c r="Q478" s="353" t="s">
        <v>688</v>
      </c>
      <c r="R478" s="200" t="s">
        <v>110</v>
      </c>
      <c r="S478" s="200">
        <v>5</v>
      </c>
      <c r="T478" s="304">
        <v>90.25</v>
      </c>
      <c r="V478" s="229">
        <v>493</v>
      </c>
    </row>
    <row r="479" spans="1:22" ht="15.75" customHeight="1">
      <c r="A479" s="185">
        <v>93</v>
      </c>
      <c r="B479" s="186">
        <v>1</v>
      </c>
      <c r="C479" s="174" t="s">
        <v>15</v>
      </c>
      <c r="D479" s="174" t="s">
        <v>17</v>
      </c>
      <c r="E479" s="132">
        <v>100</v>
      </c>
      <c r="F479" s="132">
        <v>0</v>
      </c>
      <c r="G479" s="22">
        <v>1416000</v>
      </c>
      <c r="H479" s="22"/>
      <c r="I479" s="22"/>
      <c r="J479" s="22"/>
      <c r="K479" s="22">
        <v>7</v>
      </c>
      <c r="L479" s="132" t="s">
        <v>16</v>
      </c>
      <c r="P479" s="53" t="s">
        <v>16</v>
      </c>
      <c r="T479" s="312">
        <v>100</v>
      </c>
      <c r="V479" s="229">
        <v>494</v>
      </c>
    </row>
    <row r="480" spans="1:22" ht="15.75" customHeight="1">
      <c r="A480" s="185">
        <v>93</v>
      </c>
      <c r="B480" s="186">
        <v>2</v>
      </c>
      <c r="C480" s="132" t="s">
        <v>15</v>
      </c>
      <c r="D480" s="132" t="s">
        <v>17</v>
      </c>
      <c r="E480" s="132">
        <v>100</v>
      </c>
      <c r="F480" s="132">
        <v>0</v>
      </c>
      <c r="G480" s="22">
        <v>1416000</v>
      </c>
      <c r="H480" s="22"/>
      <c r="I480" s="22"/>
      <c r="J480" s="22"/>
      <c r="K480" s="22">
        <v>7</v>
      </c>
      <c r="L480" s="132" t="s">
        <v>18</v>
      </c>
      <c r="M480" s="334" t="s">
        <v>689</v>
      </c>
      <c r="N480" s="132" t="s">
        <v>74</v>
      </c>
      <c r="O480" s="132">
        <v>4.9400000000000004</v>
      </c>
      <c r="P480" s="53" t="s">
        <v>18</v>
      </c>
      <c r="Q480" s="334" t="s">
        <v>688</v>
      </c>
      <c r="R480" s="132" t="s">
        <v>111</v>
      </c>
      <c r="S480" s="22">
        <v>0.06</v>
      </c>
      <c r="T480" s="313">
        <v>95</v>
      </c>
      <c r="V480" s="229">
        <v>495</v>
      </c>
    </row>
    <row r="481" spans="1:22" ht="15.75" customHeight="1">
      <c r="A481" s="185">
        <v>93</v>
      </c>
      <c r="B481" s="186">
        <v>3</v>
      </c>
      <c r="C481" s="132" t="s">
        <v>15</v>
      </c>
      <c r="D481" s="132" t="s">
        <v>17</v>
      </c>
      <c r="E481" s="132">
        <v>100</v>
      </c>
      <c r="F481" s="132">
        <v>0</v>
      </c>
      <c r="G481" s="22">
        <v>1416000</v>
      </c>
      <c r="H481" s="22"/>
      <c r="I481" s="22"/>
      <c r="J481" s="22"/>
      <c r="K481" s="22">
        <v>7</v>
      </c>
      <c r="L481" s="132" t="s">
        <v>18</v>
      </c>
      <c r="M481" s="334" t="s">
        <v>689</v>
      </c>
      <c r="N481" s="132" t="s">
        <v>74</v>
      </c>
      <c r="O481" s="132">
        <v>9.94</v>
      </c>
      <c r="P481" s="53" t="s">
        <v>18</v>
      </c>
      <c r="Q481" s="334" t="s">
        <v>688</v>
      </c>
      <c r="R481" s="132" t="s">
        <v>111</v>
      </c>
      <c r="S481" s="22">
        <v>0.06</v>
      </c>
      <c r="T481" s="313">
        <v>90</v>
      </c>
      <c r="V481" s="229">
        <v>496</v>
      </c>
    </row>
    <row r="482" spans="1:22" ht="15.75" customHeight="1">
      <c r="A482" s="185">
        <v>93</v>
      </c>
      <c r="B482" s="186">
        <v>4</v>
      </c>
      <c r="C482" s="132" t="s">
        <v>15</v>
      </c>
      <c r="D482" s="132" t="s">
        <v>17</v>
      </c>
      <c r="E482" s="132">
        <v>100</v>
      </c>
      <c r="F482" s="132">
        <v>0</v>
      </c>
      <c r="G482" s="22">
        <v>1416000</v>
      </c>
      <c r="H482" s="22"/>
      <c r="I482" s="22"/>
      <c r="J482" s="22"/>
      <c r="K482" s="22">
        <v>7</v>
      </c>
      <c r="L482" s="132" t="s">
        <v>18</v>
      </c>
      <c r="M482" s="334" t="s">
        <v>689</v>
      </c>
      <c r="N482" s="132" t="s">
        <v>74</v>
      </c>
      <c r="O482" s="132">
        <v>14.94</v>
      </c>
      <c r="P482" s="53" t="s">
        <v>18</v>
      </c>
      <c r="Q482" s="334" t="s">
        <v>688</v>
      </c>
      <c r="R482" s="132" t="s">
        <v>111</v>
      </c>
      <c r="S482" s="22">
        <v>0.06</v>
      </c>
      <c r="T482" s="313">
        <v>85</v>
      </c>
      <c r="V482" s="229">
        <v>497</v>
      </c>
    </row>
    <row r="483" spans="1:22" ht="15.75" customHeight="1">
      <c r="A483" s="185">
        <v>93</v>
      </c>
      <c r="B483" s="186">
        <v>5</v>
      </c>
      <c r="C483" s="132" t="s">
        <v>15</v>
      </c>
      <c r="D483" s="132" t="s">
        <v>17</v>
      </c>
      <c r="E483" s="132">
        <v>100</v>
      </c>
      <c r="F483" s="132">
        <v>0</v>
      </c>
      <c r="G483" s="22">
        <v>1416000</v>
      </c>
      <c r="H483" s="22"/>
      <c r="I483" s="22"/>
      <c r="J483" s="22"/>
      <c r="K483" s="22">
        <v>7</v>
      </c>
      <c r="L483" s="132" t="s">
        <v>18</v>
      </c>
      <c r="M483" s="334" t="s">
        <v>689</v>
      </c>
      <c r="N483" s="132" t="s">
        <v>74</v>
      </c>
      <c r="O483" s="132">
        <v>19.940000000000001</v>
      </c>
      <c r="P483" s="53" t="s">
        <v>18</v>
      </c>
      <c r="Q483" s="334" t="s">
        <v>688</v>
      </c>
      <c r="R483" s="132" t="s">
        <v>111</v>
      </c>
      <c r="S483" s="22">
        <v>0.06</v>
      </c>
      <c r="T483" s="313">
        <v>80</v>
      </c>
      <c r="V483" s="229">
        <v>498</v>
      </c>
    </row>
    <row r="484" spans="1:22" ht="15.75" customHeight="1">
      <c r="A484" s="185">
        <v>93</v>
      </c>
      <c r="B484" s="186">
        <v>6</v>
      </c>
      <c r="C484" s="132" t="s">
        <v>15</v>
      </c>
      <c r="D484" s="132" t="s">
        <v>17</v>
      </c>
      <c r="E484" s="132">
        <v>100</v>
      </c>
      <c r="F484" s="132">
        <v>0</v>
      </c>
      <c r="G484" s="22">
        <v>1416000</v>
      </c>
      <c r="H484" s="22"/>
      <c r="I484" s="22"/>
      <c r="J484" s="22"/>
      <c r="K484" s="22">
        <v>7</v>
      </c>
      <c r="L484" s="132" t="s">
        <v>18</v>
      </c>
      <c r="M484" s="334" t="s">
        <v>689</v>
      </c>
      <c r="N484" s="132" t="s">
        <v>74</v>
      </c>
      <c r="O484" s="132">
        <v>29.94</v>
      </c>
      <c r="P484" s="53" t="s">
        <v>18</v>
      </c>
      <c r="Q484" s="334" t="s">
        <v>688</v>
      </c>
      <c r="R484" s="132" t="s">
        <v>111</v>
      </c>
      <c r="S484" s="22">
        <v>0.06</v>
      </c>
      <c r="T484" s="313">
        <v>70</v>
      </c>
      <c r="V484" s="229">
        <v>499</v>
      </c>
    </row>
    <row r="485" spans="1:22" ht="15.75" customHeight="1">
      <c r="A485" s="185">
        <v>93</v>
      </c>
      <c r="B485" s="186">
        <v>7</v>
      </c>
      <c r="C485" s="132" t="s">
        <v>15</v>
      </c>
      <c r="D485" s="132" t="s">
        <v>17</v>
      </c>
      <c r="E485" s="132">
        <v>100</v>
      </c>
      <c r="F485" s="132">
        <v>0</v>
      </c>
      <c r="G485" s="22">
        <v>1416000</v>
      </c>
      <c r="H485" s="22"/>
      <c r="I485" s="22"/>
      <c r="J485" s="22"/>
      <c r="K485" s="22">
        <v>7</v>
      </c>
      <c r="L485" s="132" t="s">
        <v>18</v>
      </c>
      <c r="M485" s="334" t="s">
        <v>689</v>
      </c>
      <c r="N485" s="132" t="s">
        <v>74</v>
      </c>
      <c r="O485" s="132">
        <v>29.8</v>
      </c>
      <c r="P485" s="53" t="s">
        <v>18</v>
      </c>
      <c r="Q485" s="334" t="s">
        <v>688</v>
      </c>
      <c r="R485" s="132" t="s">
        <v>111</v>
      </c>
      <c r="S485" s="22">
        <v>0.2</v>
      </c>
      <c r="T485" s="313">
        <v>70</v>
      </c>
      <c r="V485" s="229">
        <v>500</v>
      </c>
    </row>
    <row r="486" spans="1:22" ht="15.75" customHeight="1" thickBot="1">
      <c r="A486" s="235">
        <v>93</v>
      </c>
      <c r="B486" s="236">
        <v>8</v>
      </c>
      <c r="C486" s="200" t="s">
        <v>15</v>
      </c>
      <c r="D486" s="200" t="s">
        <v>17</v>
      </c>
      <c r="E486" s="200">
        <v>100</v>
      </c>
      <c r="F486" s="200">
        <v>0</v>
      </c>
      <c r="G486" s="37">
        <v>1416000</v>
      </c>
      <c r="H486" s="37"/>
      <c r="I486" s="37"/>
      <c r="J486" s="37"/>
      <c r="K486" s="37">
        <v>7</v>
      </c>
      <c r="L486" s="200" t="s">
        <v>18</v>
      </c>
      <c r="M486" s="353" t="s">
        <v>689</v>
      </c>
      <c r="N486" s="200" t="s">
        <v>74</v>
      </c>
      <c r="O486" s="200">
        <v>29.5</v>
      </c>
      <c r="P486" s="245" t="s">
        <v>18</v>
      </c>
      <c r="Q486" s="354" t="s">
        <v>688</v>
      </c>
      <c r="R486" s="200" t="s">
        <v>111</v>
      </c>
      <c r="S486" s="37">
        <v>0.5</v>
      </c>
      <c r="T486" s="313">
        <v>70</v>
      </c>
      <c r="V486" s="229">
        <v>501</v>
      </c>
    </row>
    <row r="487" spans="1:22" ht="15.75" customHeight="1">
      <c r="A487" s="185">
        <v>94</v>
      </c>
      <c r="B487" s="186">
        <v>1</v>
      </c>
      <c r="C487" s="174" t="s">
        <v>15</v>
      </c>
      <c r="D487" s="174" t="s">
        <v>17</v>
      </c>
      <c r="E487" s="132">
        <v>88</v>
      </c>
      <c r="F487" s="132">
        <v>12</v>
      </c>
      <c r="G487" s="22">
        <v>474000</v>
      </c>
      <c r="H487" s="132">
        <v>193000</v>
      </c>
      <c r="I487" s="202"/>
      <c r="J487" s="202"/>
      <c r="K487" s="132">
        <v>2.5</v>
      </c>
      <c r="L487" s="132" t="s">
        <v>16</v>
      </c>
      <c r="P487" s="132" t="s">
        <v>16</v>
      </c>
      <c r="T487" s="312">
        <v>100</v>
      </c>
      <c r="V487" s="229">
        <v>502</v>
      </c>
    </row>
    <row r="488" spans="1:22" ht="15.75" customHeight="1">
      <c r="A488" s="185">
        <v>94</v>
      </c>
      <c r="B488" s="186">
        <v>2</v>
      </c>
      <c r="C488" s="132" t="s">
        <v>15</v>
      </c>
      <c r="D488" s="132" t="s">
        <v>17</v>
      </c>
      <c r="E488" s="132">
        <v>88</v>
      </c>
      <c r="F488" s="132">
        <v>12</v>
      </c>
      <c r="G488" s="22">
        <v>474000</v>
      </c>
      <c r="H488" s="132">
        <v>193000</v>
      </c>
      <c r="I488" s="202"/>
      <c r="J488" s="202"/>
      <c r="K488" s="132">
        <v>2.5</v>
      </c>
      <c r="L488" s="132" t="s">
        <v>18</v>
      </c>
      <c r="M488" s="334" t="s">
        <v>689</v>
      </c>
      <c r="N488" s="132" t="s">
        <v>74</v>
      </c>
      <c r="O488" s="132">
        <v>5</v>
      </c>
      <c r="P488" s="132" t="s">
        <v>16</v>
      </c>
      <c r="T488" s="304">
        <v>95</v>
      </c>
      <c r="U488" s="202"/>
      <c r="V488" s="229">
        <v>503</v>
      </c>
    </row>
    <row r="489" spans="1:22" ht="15.75" customHeight="1">
      <c r="A489" s="185">
        <v>94</v>
      </c>
      <c r="B489" s="186">
        <v>3</v>
      </c>
      <c r="C489" s="132" t="s">
        <v>15</v>
      </c>
      <c r="D489" s="132" t="s">
        <v>17</v>
      </c>
      <c r="E489" s="132">
        <v>88</v>
      </c>
      <c r="F489" s="132">
        <v>12</v>
      </c>
      <c r="G489" s="22">
        <v>474000</v>
      </c>
      <c r="H489" s="132">
        <v>193000</v>
      </c>
      <c r="I489" s="202"/>
      <c r="J489" s="202"/>
      <c r="K489" s="132">
        <v>2.5</v>
      </c>
      <c r="L489" s="132" t="s">
        <v>18</v>
      </c>
      <c r="M489" s="334" t="s">
        <v>689</v>
      </c>
      <c r="N489" s="132" t="s">
        <v>74</v>
      </c>
      <c r="O489" s="132">
        <v>10</v>
      </c>
      <c r="P489" s="132" t="s">
        <v>16</v>
      </c>
      <c r="T489" s="304">
        <v>90</v>
      </c>
      <c r="U489" s="202"/>
      <c r="V489" s="229">
        <v>504</v>
      </c>
    </row>
    <row r="490" spans="1:22" ht="15.75" customHeight="1">
      <c r="A490" s="185">
        <v>94</v>
      </c>
      <c r="B490" s="186">
        <v>4</v>
      </c>
      <c r="C490" s="132" t="s">
        <v>15</v>
      </c>
      <c r="D490" s="132" t="s">
        <v>17</v>
      </c>
      <c r="E490" s="132">
        <v>88</v>
      </c>
      <c r="F490" s="132">
        <v>12</v>
      </c>
      <c r="G490" s="22">
        <v>474000</v>
      </c>
      <c r="H490" s="132">
        <v>193000</v>
      </c>
      <c r="I490" s="202"/>
      <c r="J490" s="202"/>
      <c r="K490" s="132">
        <v>2.5</v>
      </c>
      <c r="L490" s="132" t="s">
        <v>18</v>
      </c>
      <c r="M490" s="334" t="s">
        <v>689</v>
      </c>
      <c r="N490" s="132" t="s">
        <v>74</v>
      </c>
      <c r="O490" s="132">
        <v>15</v>
      </c>
      <c r="P490" s="132" t="s">
        <v>16</v>
      </c>
      <c r="T490" s="304">
        <v>85</v>
      </c>
      <c r="U490" s="202"/>
      <c r="V490" s="229">
        <v>505</v>
      </c>
    </row>
    <row r="491" spans="1:22" ht="15.75" customHeight="1">
      <c r="A491" s="185">
        <v>94</v>
      </c>
      <c r="B491" s="186">
        <v>5</v>
      </c>
      <c r="C491" s="132" t="s">
        <v>15</v>
      </c>
      <c r="D491" s="132" t="s">
        <v>17</v>
      </c>
      <c r="E491" s="132">
        <v>88</v>
      </c>
      <c r="F491" s="132">
        <v>12</v>
      </c>
      <c r="G491" s="22">
        <v>474000</v>
      </c>
      <c r="H491" s="132">
        <v>193000</v>
      </c>
      <c r="I491" s="202"/>
      <c r="J491" s="202"/>
      <c r="K491" s="132">
        <v>2.5</v>
      </c>
      <c r="L491" s="132" t="s">
        <v>18</v>
      </c>
      <c r="M491" s="334" t="s">
        <v>689</v>
      </c>
      <c r="N491" s="132" t="s">
        <v>74</v>
      </c>
      <c r="O491" s="132">
        <v>20</v>
      </c>
      <c r="P491" s="132" t="s">
        <v>16</v>
      </c>
      <c r="T491" s="304">
        <v>80</v>
      </c>
      <c r="U491" s="202"/>
      <c r="V491" s="229">
        <v>506</v>
      </c>
    </row>
    <row r="492" spans="1:22" ht="15.75" customHeight="1">
      <c r="A492" s="185">
        <v>94</v>
      </c>
      <c r="B492" s="186">
        <v>6</v>
      </c>
      <c r="C492" s="132" t="s">
        <v>15</v>
      </c>
      <c r="D492" s="132" t="s">
        <v>17</v>
      </c>
      <c r="E492" s="132">
        <v>88</v>
      </c>
      <c r="F492" s="132">
        <v>12</v>
      </c>
      <c r="G492" s="22">
        <v>474000</v>
      </c>
      <c r="H492" s="132">
        <v>193000</v>
      </c>
      <c r="I492" s="202"/>
      <c r="J492" s="202"/>
      <c r="K492" s="132">
        <v>2.5</v>
      </c>
      <c r="L492" s="132" t="s">
        <v>18</v>
      </c>
      <c r="M492" s="334" t="s">
        <v>689</v>
      </c>
      <c r="N492" s="132" t="s">
        <v>74</v>
      </c>
      <c r="O492" s="132">
        <v>30</v>
      </c>
      <c r="P492" s="132" t="s">
        <v>16</v>
      </c>
      <c r="T492" s="304">
        <v>70</v>
      </c>
      <c r="U492" s="202"/>
      <c r="V492" s="229">
        <v>507</v>
      </c>
    </row>
    <row r="493" spans="1:22" ht="15.75" customHeight="1" thickBot="1">
      <c r="A493" s="235">
        <v>94</v>
      </c>
      <c r="B493" s="236">
        <v>7</v>
      </c>
      <c r="C493" s="200" t="s">
        <v>15</v>
      </c>
      <c r="D493" s="200" t="s">
        <v>17</v>
      </c>
      <c r="E493" s="200">
        <v>88</v>
      </c>
      <c r="F493" s="200">
        <v>12</v>
      </c>
      <c r="G493" s="37">
        <v>474000</v>
      </c>
      <c r="H493" s="200">
        <v>193000</v>
      </c>
      <c r="I493" s="253"/>
      <c r="J493" s="253"/>
      <c r="K493" s="200">
        <v>2.5</v>
      </c>
      <c r="L493" s="200" t="s">
        <v>18</v>
      </c>
      <c r="M493" s="353" t="s">
        <v>689</v>
      </c>
      <c r="N493" s="200" t="s">
        <v>74</v>
      </c>
      <c r="O493" s="200">
        <v>40</v>
      </c>
      <c r="P493" s="200" t="s">
        <v>16</v>
      </c>
      <c r="Q493" s="354"/>
      <c r="R493" s="244"/>
      <c r="S493" s="244"/>
      <c r="T493" s="304">
        <v>60</v>
      </c>
      <c r="U493" s="200"/>
      <c r="V493" s="229">
        <v>508</v>
      </c>
    </row>
    <row r="494" spans="1:22" ht="15.75" customHeight="1">
      <c r="A494" s="185">
        <v>95</v>
      </c>
      <c r="B494" s="186">
        <v>1</v>
      </c>
      <c r="C494" s="174" t="s">
        <v>15</v>
      </c>
      <c r="D494" s="174" t="s">
        <v>17</v>
      </c>
      <c r="E494" s="132">
        <v>100</v>
      </c>
      <c r="F494" s="132">
        <v>0</v>
      </c>
      <c r="G494" s="23"/>
      <c r="L494" s="132" t="s">
        <v>16</v>
      </c>
      <c r="P494" s="132" t="s">
        <v>16</v>
      </c>
      <c r="T494" s="312">
        <v>100</v>
      </c>
      <c r="V494" s="229">
        <v>509</v>
      </c>
    </row>
    <row r="495" spans="1:22" ht="15.75" customHeight="1">
      <c r="A495" s="185">
        <v>95</v>
      </c>
      <c r="B495" s="186">
        <v>2</v>
      </c>
      <c r="C495" s="132" t="s">
        <v>15</v>
      </c>
      <c r="D495" s="132" t="s">
        <v>17</v>
      </c>
      <c r="E495" s="132">
        <v>100</v>
      </c>
      <c r="F495" s="132">
        <v>0</v>
      </c>
      <c r="G495" s="23"/>
      <c r="L495" s="132" t="s">
        <v>18</v>
      </c>
      <c r="M495" s="334" t="s">
        <v>689</v>
      </c>
      <c r="N495" s="132" t="s">
        <v>74</v>
      </c>
      <c r="O495" s="132">
        <v>10</v>
      </c>
      <c r="P495" s="132" t="s">
        <v>16</v>
      </c>
      <c r="T495" s="304">
        <v>90</v>
      </c>
      <c r="V495" s="229">
        <v>510</v>
      </c>
    </row>
    <row r="496" spans="1:22" ht="15.75" customHeight="1">
      <c r="A496" s="185">
        <v>95</v>
      </c>
      <c r="B496" s="186">
        <v>3</v>
      </c>
      <c r="C496" s="132" t="s">
        <v>15</v>
      </c>
      <c r="D496" s="132" t="s">
        <v>17</v>
      </c>
      <c r="E496" s="132">
        <v>100</v>
      </c>
      <c r="F496" s="132">
        <v>0</v>
      </c>
      <c r="G496" s="23"/>
      <c r="L496" s="132" t="s">
        <v>18</v>
      </c>
      <c r="M496" s="334" t="s">
        <v>689</v>
      </c>
      <c r="N496" s="132" t="s">
        <v>74</v>
      </c>
      <c r="O496" s="132">
        <v>20</v>
      </c>
      <c r="P496" s="132" t="s">
        <v>16</v>
      </c>
      <c r="T496" s="304">
        <v>80</v>
      </c>
      <c r="V496" s="229">
        <v>511</v>
      </c>
    </row>
    <row r="497" spans="1:22" ht="15.75" customHeight="1">
      <c r="A497" s="185">
        <v>95</v>
      </c>
      <c r="B497" s="186">
        <v>4</v>
      </c>
      <c r="C497" s="132" t="s">
        <v>15</v>
      </c>
      <c r="D497" s="132" t="s">
        <v>17</v>
      </c>
      <c r="E497" s="132">
        <v>100</v>
      </c>
      <c r="F497" s="132">
        <v>0</v>
      </c>
      <c r="G497" s="23"/>
      <c r="L497" s="132" t="s">
        <v>18</v>
      </c>
      <c r="M497" s="334" t="s">
        <v>689</v>
      </c>
      <c r="N497" s="132" t="s">
        <v>74</v>
      </c>
      <c r="O497" s="132">
        <v>35</v>
      </c>
      <c r="P497" s="132" t="s">
        <v>16</v>
      </c>
      <c r="T497" s="304">
        <v>65</v>
      </c>
      <c r="V497" s="229">
        <v>512</v>
      </c>
    </row>
    <row r="498" spans="1:22" ht="15.75" customHeight="1">
      <c r="A498" s="185">
        <v>95</v>
      </c>
      <c r="B498" s="186">
        <v>5</v>
      </c>
      <c r="C498" s="132" t="s">
        <v>15</v>
      </c>
      <c r="D498" s="132" t="s">
        <v>17</v>
      </c>
      <c r="E498" s="132">
        <v>100</v>
      </c>
      <c r="F498" s="132">
        <v>0</v>
      </c>
      <c r="G498" s="23"/>
      <c r="L498" s="132" t="s">
        <v>18</v>
      </c>
      <c r="M498" s="334" t="s">
        <v>689</v>
      </c>
      <c r="N498" s="132" t="s">
        <v>74</v>
      </c>
      <c r="O498" s="132">
        <v>50</v>
      </c>
      <c r="P498" s="132" t="s">
        <v>16</v>
      </c>
      <c r="T498" s="304">
        <v>50</v>
      </c>
      <c r="V498" s="229">
        <v>513</v>
      </c>
    </row>
    <row r="499" spans="1:22" s="132" customFormat="1" ht="15.75" customHeight="1">
      <c r="A499" s="185">
        <v>96</v>
      </c>
      <c r="B499" s="186">
        <v>1</v>
      </c>
      <c r="C499" s="132" t="s">
        <v>15</v>
      </c>
      <c r="D499" s="132" t="s">
        <v>17</v>
      </c>
      <c r="E499" s="132">
        <v>100</v>
      </c>
      <c r="F499" s="132">
        <v>0</v>
      </c>
      <c r="G499" s="22">
        <v>500000</v>
      </c>
      <c r="K499" s="132">
        <v>2</v>
      </c>
      <c r="L499" s="132" t="s">
        <v>16</v>
      </c>
      <c r="M499" s="334"/>
      <c r="P499" s="132" t="s">
        <v>16</v>
      </c>
      <c r="Q499" s="334"/>
      <c r="T499" s="304">
        <v>100</v>
      </c>
      <c r="V499" s="229">
        <v>517</v>
      </c>
    </row>
    <row r="500" spans="1:22" s="132" customFormat="1" ht="15.75" customHeight="1">
      <c r="A500" s="235">
        <v>96</v>
      </c>
      <c r="B500" s="236">
        <v>2</v>
      </c>
      <c r="C500" s="200" t="s">
        <v>15</v>
      </c>
      <c r="D500" s="200" t="s">
        <v>17</v>
      </c>
      <c r="E500" s="200">
        <v>100</v>
      </c>
      <c r="F500" s="200">
        <v>0</v>
      </c>
      <c r="G500" s="37">
        <v>500000</v>
      </c>
      <c r="H500" s="200"/>
      <c r="I500" s="200"/>
      <c r="J500" s="200"/>
      <c r="K500" s="200">
        <v>2</v>
      </c>
      <c r="L500" s="200" t="s">
        <v>18</v>
      </c>
      <c r="M500" s="353" t="s">
        <v>689</v>
      </c>
      <c r="N500" s="200" t="s">
        <v>74</v>
      </c>
      <c r="O500" s="200">
        <v>52</v>
      </c>
      <c r="P500" s="200" t="s">
        <v>16</v>
      </c>
      <c r="Q500" s="354"/>
      <c r="R500" s="200"/>
      <c r="S500" s="200"/>
      <c r="T500" s="314">
        <v>48</v>
      </c>
      <c r="V500" s="229">
        <v>518</v>
      </c>
    </row>
    <row r="501" spans="1:22" ht="15.75" customHeight="1">
      <c r="A501" s="185">
        <v>97</v>
      </c>
      <c r="B501" s="186">
        <v>1</v>
      </c>
      <c r="C501" s="132" t="s">
        <v>15</v>
      </c>
      <c r="D501" s="132" t="s">
        <v>17</v>
      </c>
      <c r="E501" s="132">
        <v>100</v>
      </c>
      <c r="F501" s="132">
        <v>0</v>
      </c>
      <c r="G501" s="22"/>
      <c r="H501" s="132"/>
      <c r="I501" s="132"/>
      <c r="J501" s="132"/>
      <c r="K501" s="132"/>
      <c r="L501" s="132" t="s">
        <v>16</v>
      </c>
      <c r="N501" s="132"/>
      <c r="O501" s="132"/>
      <c r="P501" s="132" t="s">
        <v>16</v>
      </c>
      <c r="R501" s="132"/>
      <c r="S501" s="132"/>
      <c r="T501" s="304">
        <v>100</v>
      </c>
      <c r="V501" s="229">
        <v>519</v>
      </c>
    </row>
    <row r="502" spans="1:22" ht="15.75" customHeight="1">
      <c r="A502" s="235">
        <v>97</v>
      </c>
      <c r="B502" s="236">
        <v>2</v>
      </c>
      <c r="C502" s="200" t="s">
        <v>15</v>
      </c>
      <c r="D502" s="200" t="s">
        <v>17</v>
      </c>
      <c r="E502" s="200">
        <v>100</v>
      </c>
      <c r="F502" s="200">
        <v>0</v>
      </c>
      <c r="G502" s="37"/>
      <c r="H502" s="200"/>
      <c r="I502" s="200"/>
      <c r="J502" s="200"/>
      <c r="K502" s="200"/>
      <c r="L502" s="200" t="s">
        <v>18</v>
      </c>
      <c r="M502" s="353" t="s">
        <v>689</v>
      </c>
      <c r="N502" s="200" t="s">
        <v>74</v>
      </c>
      <c r="O502" s="200">
        <v>42</v>
      </c>
      <c r="P502" s="200" t="s">
        <v>16</v>
      </c>
      <c r="Q502" s="354"/>
      <c r="R502" s="200"/>
      <c r="S502" s="200"/>
      <c r="T502" s="314">
        <v>58</v>
      </c>
      <c r="V502" s="229">
        <v>520</v>
      </c>
    </row>
    <row r="503" spans="1:22" ht="15.75" customHeight="1">
      <c r="A503" s="185">
        <v>98</v>
      </c>
      <c r="B503" s="186">
        <v>1</v>
      </c>
      <c r="C503" s="132" t="s">
        <v>15</v>
      </c>
      <c r="D503" s="132" t="s">
        <v>17</v>
      </c>
      <c r="E503" s="132">
        <v>100</v>
      </c>
      <c r="F503" s="132">
        <v>0</v>
      </c>
      <c r="G503" s="17"/>
      <c r="H503" s="229"/>
      <c r="I503" s="229"/>
      <c r="J503" s="229"/>
      <c r="K503" s="229"/>
      <c r="L503" s="132" t="s">
        <v>16</v>
      </c>
      <c r="N503" s="132"/>
      <c r="O503" s="229"/>
      <c r="P503" s="132" t="s">
        <v>16</v>
      </c>
      <c r="R503" s="229"/>
      <c r="S503" s="229"/>
      <c r="T503" s="304">
        <v>100</v>
      </c>
      <c r="V503" s="229">
        <v>521</v>
      </c>
    </row>
    <row r="504" spans="1:22" ht="15.75" customHeight="1">
      <c r="A504" s="235">
        <v>98</v>
      </c>
      <c r="B504" s="236">
        <v>2</v>
      </c>
      <c r="C504" s="200" t="s">
        <v>15</v>
      </c>
      <c r="D504" s="200" t="s">
        <v>17</v>
      </c>
      <c r="E504" s="200">
        <v>100</v>
      </c>
      <c r="F504" s="200">
        <v>0</v>
      </c>
      <c r="G504" s="40"/>
      <c r="H504" s="240"/>
      <c r="I504" s="240"/>
      <c r="J504" s="240"/>
      <c r="K504" s="240"/>
      <c r="L504" s="200" t="s">
        <v>18</v>
      </c>
      <c r="M504" s="353" t="s">
        <v>689</v>
      </c>
      <c r="N504" s="200" t="s">
        <v>74</v>
      </c>
      <c r="O504" s="200">
        <v>15.8</v>
      </c>
      <c r="P504" s="200" t="s">
        <v>18</v>
      </c>
      <c r="Q504" s="353" t="s">
        <v>689</v>
      </c>
      <c r="R504" s="200" t="s">
        <v>112</v>
      </c>
      <c r="S504" s="200">
        <v>12.7</v>
      </c>
      <c r="T504" s="314">
        <v>71.5</v>
      </c>
      <c r="V504" s="229">
        <v>522</v>
      </c>
    </row>
    <row r="505" spans="1:22" ht="15.75" customHeight="1">
      <c r="A505" s="185">
        <v>99</v>
      </c>
      <c r="B505" s="186">
        <v>1</v>
      </c>
      <c r="C505" s="132" t="s">
        <v>15</v>
      </c>
      <c r="D505" s="132" t="s">
        <v>17</v>
      </c>
      <c r="E505" s="132">
        <v>100</v>
      </c>
      <c r="F505" s="132">
        <v>0</v>
      </c>
      <c r="G505" s="22">
        <v>890000</v>
      </c>
      <c r="H505" s="132">
        <v>462000</v>
      </c>
      <c r="I505" s="132"/>
      <c r="J505" s="132"/>
      <c r="K505" s="132">
        <v>1.92</v>
      </c>
      <c r="L505" s="132" t="s">
        <v>16</v>
      </c>
      <c r="N505" s="132"/>
      <c r="O505" s="132"/>
      <c r="P505" s="132" t="s">
        <v>16</v>
      </c>
      <c r="R505" s="132"/>
      <c r="S505" s="132"/>
      <c r="T505" s="304">
        <v>100</v>
      </c>
      <c r="V505" s="229">
        <v>523</v>
      </c>
    </row>
    <row r="506" spans="1:22" ht="15.75" customHeight="1">
      <c r="A506" s="185">
        <v>99</v>
      </c>
      <c r="B506" s="186">
        <v>2</v>
      </c>
      <c r="C506" s="132" t="s">
        <v>15</v>
      </c>
      <c r="D506" s="132" t="s">
        <v>17</v>
      </c>
      <c r="E506" s="132">
        <v>100</v>
      </c>
      <c r="F506" s="132">
        <v>0</v>
      </c>
      <c r="G506" s="22">
        <v>477000</v>
      </c>
      <c r="H506" s="132">
        <v>399200</v>
      </c>
      <c r="I506" s="132"/>
      <c r="J506" s="132"/>
      <c r="K506" s="132">
        <v>1.19</v>
      </c>
      <c r="L506" s="132" t="s">
        <v>16</v>
      </c>
      <c r="N506" s="132"/>
      <c r="O506" s="132"/>
      <c r="P506" s="132" t="s">
        <v>16</v>
      </c>
      <c r="R506" s="132"/>
      <c r="S506" s="132"/>
      <c r="T506" s="304">
        <v>100</v>
      </c>
      <c r="V506" s="229">
        <v>524</v>
      </c>
    </row>
    <row r="507" spans="1:22" ht="15.75" customHeight="1">
      <c r="A507" s="185">
        <v>99</v>
      </c>
      <c r="B507" s="186">
        <v>3</v>
      </c>
      <c r="C507" s="132" t="s">
        <v>15</v>
      </c>
      <c r="D507" s="132" t="s">
        <v>17</v>
      </c>
      <c r="E507" s="132">
        <v>100</v>
      </c>
      <c r="F507" s="132">
        <v>0</v>
      </c>
      <c r="G507" s="22">
        <v>350000</v>
      </c>
      <c r="H507" s="132">
        <v>159100</v>
      </c>
      <c r="I507" s="132"/>
      <c r="J507" s="132"/>
      <c r="K507" s="132">
        <v>2.2000000000000002</v>
      </c>
      <c r="L507" s="132" t="s">
        <v>16</v>
      </c>
      <c r="N507" s="132"/>
      <c r="O507" s="132"/>
      <c r="P507" s="132" t="s">
        <v>16</v>
      </c>
      <c r="R507" s="132"/>
      <c r="S507" s="132"/>
      <c r="T507" s="304">
        <v>100</v>
      </c>
      <c r="V507" s="229">
        <v>525</v>
      </c>
    </row>
    <row r="508" spans="1:22" ht="15.75" customHeight="1">
      <c r="A508" s="185">
        <v>99</v>
      </c>
      <c r="B508" s="186">
        <v>4</v>
      </c>
      <c r="C508" s="132" t="s">
        <v>15</v>
      </c>
      <c r="D508" s="132" t="s">
        <v>17</v>
      </c>
      <c r="E508" s="132">
        <v>100</v>
      </c>
      <c r="F508" s="132">
        <v>0</v>
      </c>
      <c r="G508" s="22">
        <v>477000</v>
      </c>
      <c r="H508" s="132">
        <v>399200</v>
      </c>
      <c r="I508" s="132"/>
      <c r="J508" s="132"/>
      <c r="K508" s="132">
        <v>1.19</v>
      </c>
      <c r="L508" s="132" t="s">
        <v>18</v>
      </c>
      <c r="M508" s="334" t="s">
        <v>689</v>
      </c>
      <c r="N508" s="132" t="s">
        <v>113</v>
      </c>
      <c r="O508" s="132">
        <v>5</v>
      </c>
      <c r="P508" s="132" t="s">
        <v>16</v>
      </c>
      <c r="R508" s="132"/>
      <c r="S508" s="132"/>
      <c r="T508" s="304">
        <v>95</v>
      </c>
      <c r="V508" s="229">
        <v>526</v>
      </c>
    </row>
    <row r="509" spans="1:22" ht="15.75" customHeight="1">
      <c r="A509" s="185">
        <v>99</v>
      </c>
      <c r="B509" s="186">
        <v>5</v>
      </c>
      <c r="C509" s="132" t="s">
        <v>15</v>
      </c>
      <c r="D509" s="132" t="s">
        <v>17</v>
      </c>
      <c r="E509" s="132">
        <v>100</v>
      </c>
      <c r="F509" s="132">
        <v>0</v>
      </c>
      <c r="G509" s="22">
        <v>477000</v>
      </c>
      <c r="H509" s="132">
        <v>399200</v>
      </c>
      <c r="I509" s="132"/>
      <c r="J509" s="132"/>
      <c r="K509" s="132">
        <v>1.19</v>
      </c>
      <c r="L509" s="132" t="s">
        <v>18</v>
      </c>
      <c r="M509" s="334" t="s">
        <v>689</v>
      </c>
      <c r="N509" s="132" t="s">
        <v>74</v>
      </c>
      <c r="O509" s="132">
        <v>5</v>
      </c>
      <c r="P509" s="132" t="s">
        <v>18</v>
      </c>
      <c r="R509" s="132"/>
      <c r="S509" s="132"/>
      <c r="T509" s="304">
        <v>95</v>
      </c>
      <c r="V509" s="229">
        <v>527</v>
      </c>
    </row>
    <row r="510" spans="1:22" ht="15.75" customHeight="1">
      <c r="A510" s="235">
        <v>99</v>
      </c>
      <c r="B510" s="236">
        <v>6</v>
      </c>
      <c r="C510" s="200" t="s">
        <v>15</v>
      </c>
      <c r="D510" s="200" t="s">
        <v>17</v>
      </c>
      <c r="E510" s="200">
        <v>100</v>
      </c>
      <c r="F510" s="200">
        <v>0</v>
      </c>
      <c r="G510" s="37">
        <v>477000</v>
      </c>
      <c r="H510" s="200">
        <v>399200</v>
      </c>
      <c r="I510" s="200"/>
      <c r="J510" s="200"/>
      <c r="K510" s="200">
        <v>1.19</v>
      </c>
      <c r="L510" s="200" t="s">
        <v>18</v>
      </c>
      <c r="M510" s="353" t="s">
        <v>689</v>
      </c>
      <c r="N510" s="200" t="s">
        <v>74</v>
      </c>
      <c r="O510" s="200">
        <v>2.5</v>
      </c>
      <c r="P510" s="200" t="s">
        <v>18</v>
      </c>
      <c r="Q510" s="353" t="s">
        <v>689</v>
      </c>
      <c r="R510" s="200" t="s">
        <v>113</v>
      </c>
      <c r="S510" s="200">
        <v>2.5</v>
      </c>
      <c r="T510" s="314">
        <v>95</v>
      </c>
      <c r="V510" s="229">
        <v>528</v>
      </c>
    </row>
    <row r="511" spans="1:22" ht="15.75" customHeight="1">
      <c r="A511" s="185">
        <v>100</v>
      </c>
      <c r="B511" s="186">
        <v>1</v>
      </c>
      <c r="C511" s="132" t="s">
        <v>15</v>
      </c>
      <c r="D511" s="132" t="s">
        <v>17</v>
      </c>
      <c r="E511" s="132">
        <v>100</v>
      </c>
      <c r="F511" s="132">
        <v>0</v>
      </c>
      <c r="G511" s="23"/>
      <c r="L511" s="132" t="s">
        <v>16</v>
      </c>
      <c r="N511" s="202"/>
      <c r="P511" s="132" t="s">
        <v>16</v>
      </c>
      <c r="T511" s="304">
        <v>100</v>
      </c>
      <c r="V511" s="229">
        <v>529</v>
      </c>
    </row>
    <row r="512" spans="1:22" ht="15.75" customHeight="1">
      <c r="A512" s="185">
        <v>100</v>
      </c>
      <c r="B512" s="186">
        <v>3</v>
      </c>
      <c r="C512" s="132" t="s">
        <v>15</v>
      </c>
      <c r="D512" s="132" t="s">
        <v>17</v>
      </c>
      <c r="E512" s="132">
        <v>100</v>
      </c>
      <c r="F512" s="132">
        <v>0</v>
      </c>
      <c r="G512" s="23"/>
      <c r="L512" s="132" t="s">
        <v>18</v>
      </c>
      <c r="M512" s="334" t="s">
        <v>689</v>
      </c>
      <c r="N512" s="132" t="s">
        <v>74</v>
      </c>
      <c r="O512" s="132">
        <v>50</v>
      </c>
      <c r="P512" s="132" t="s">
        <v>16</v>
      </c>
      <c r="T512" s="304">
        <v>50</v>
      </c>
      <c r="V512" s="229">
        <v>531</v>
      </c>
    </row>
    <row r="513" spans="1:22" ht="15.75" customHeight="1">
      <c r="A513" s="235">
        <v>100</v>
      </c>
      <c r="B513" s="236">
        <v>4</v>
      </c>
      <c r="C513" s="200" t="s">
        <v>15</v>
      </c>
      <c r="D513" s="200" t="s">
        <v>17</v>
      </c>
      <c r="E513" s="200">
        <v>100</v>
      </c>
      <c r="F513" s="200">
        <v>0</v>
      </c>
      <c r="G513" s="39"/>
      <c r="H513" s="244"/>
      <c r="I513" s="244"/>
      <c r="J513" s="244"/>
      <c r="K513" s="244"/>
      <c r="L513" s="200" t="s">
        <v>18</v>
      </c>
      <c r="M513" s="353" t="s">
        <v>689</v>
      </c>
      <c r="N513" s="200" t="s">
        <v>74</v>
      </c>
      <c r="O513" s="200">
        <v>20</v>
      </c>
      <c r="P513" s="200" t="s">
        <v>16</v>
      </c>
      <c r="Q513" s="354"/>
      <c r="R513" s="244"/>
      <c r="S513" s="244"/>
      <c r="T513" s="314">
        <v>80</v>
      </c>
      <c r="V513" s="229">
        <v>532</v>
      </c>
    </row>
    <row r="514" spans="1:22" ht="15.75" customHeight="1">
      <c r="A514" s="185">
        <v>72</v>
      </c>
      <c r="B514" s="186">
        <v>6</v>
      </c>
      <c r="C514" s="132" t="s">
        <v>15</v>
      </c>
      <c r="D514" s="132" t="s">
        <v>17</v>
      </c>
      <c r="E514" s="132">
        <v>100</v>
      </c>
      <c r="F514" s="132">
        <v>0</v>
      </c>
      <c r="G514" s="22">
        <v>550000</v>
      </c>
      <c r="H514" s="35"/>
      <c r="I514" s="35"/>
      <c r="J514" s="35"/>
      <c r="K514" s="35"/>
      <c r="L514" s="132" t="s">
        <v>18</v>
      </c>
      <c r="M514" s="334" t="s">
        <v>689</v>
      </c>
      <c r="N514" s="132" t="s">
        <v>74</v>
      </c>
      <c r="O514" s="132">
        <v>10</v>
      </c>
      <c r="P514" s="132" t="s">
        <v>16</v>
      </c>
      <c r="R514" s="35"/>
      <c r="S514" s="35"/>
      <c r="T514" s="304">
        <v>90</v>
      </c>
      <c r="V514" s="229">
        <v>533</v>
      </c>
    </row>
    <row r="515" spans="1:22" ht="15.75" customHeight="1">
      <c r="A515" s="185">
        <v>72</v>
      </c>
      <c r="B515" s="186">
        <v>7</v>
      </c>
      <c r="C515" s="132" t="s">
        <v>15</v>
      </c>
      <c r="D515" s="132" t="s">
        <v>17</v>
      </c>
      <c r="E515" s="132">
        <v>100</v>
      </c>
      <c r="F515" s="132">
        <v>0</v>
      </c>
      <c r="G515" s="22">
        <v>550000</v>
      </c>
      <c r="H515" s="35"/>
      <c r="I515" s="35"/>
      <c r="J515" s="35"/>
      <c r="K515" s="35"/>
      <c r="L515" s="132" t="s">
        <v>18</v>
      </c>
      <c r="M515" s="334" t="s">
        <v>689</v>
      </c>
      <c r="N515" s="132" t="s">
        <v>74</v>
      </c>
      <c r="O515" s="132">
        <v>20</v>
      </c>
      <c r="P515" s="132" t="s">
        <v>16</v>
      </c>
      <c r="R515" s="35"/>
      <c r="S515" s="35"/>
      <c r="T515" s="304">
        <v>80</v>
      </c>
      <c r="V515" s="229">
        <v>534</v>
      </c>
    </row>
    <row r="516" spans="1:22" ht="15.75" customHeight="1" thickBot="1">
      <c r="A516" s="187">
        <v>72</v>
      </c>
      <c r="B516" s="188">
        <v>8</v>
      </c>
      <c r="C516" s="189" t="s">
        <v>15</v>
      </c>
      <c r="D516" s="189" t="s">
        <v>17</v>
      </c>
      <c r="E516" s="189">
        <v>100</v>
      </c>
      <c r="F516" s="189">
        <v>0</v>
      </c>
      <c r="G516" s="37">
        <v>550000</v>
      </c>
      <c r="H516" s="190"/>
      <c r="I516" s="190"/>
      <c r="J516" s="190"/>
      <c r="K516" s="190"/>
      <c r="L516" s="189" t="s">
        <v>18</v>
      </c>
      <c r="M516" s="353" t="s">
        <v>689</v>
      </c>
      <c r="N516" s="200" t="s">
        <v>74</v>
      </c>
      <c r="O516" s="189">
        <v>10</v>
      </c>
      <c r="P516" s="189" t="s">
        <v>18</v>
      </c>
      <c r="Q516" s="353" t="s">
        <v>688</v>
      </c>
      <c r="R516" s="189" t="s">
        <v>75</v>
      </c>
      <c r="S516" s="189">
        <v>5</v>
      </c>
      <c r="T516" s="308">
        <v>85</v>
      </c>
      <c r="V516" s="229">
        <v>535</v>
      </c>
    </row>
    <row r="517" spans="1:22" ht="15.75" customHeight="1">
      <c r="A517" s="261">
        <v>101</v>
      </c>
      <c r="B517" s="262">
        <v>1</v>
      </c>
      <c r="C517" s="229" t="s">
        <v>15</v>
      </c>
      <c r="D517" s="229" t="s">
        <v>17</v>
      </c>
      <c r="E517" s="229">
        <v>3</v>
      </c>
      <c r="F517" s="229">
        <v>97</v>
      </c>
      <c r="G517" s="17">
        <v>300000</v>
      </c>
      <c r="H517" s="229"/>
      <c r="I517" s="229"/>
      <c r="J517" s="229"/>
      <c r="K517" s="229"/>
      <c r="L517" s="53" t="s">
        <v>16</v>
      </c>
      <c r="N517" s="229"/>
      <c r="O517" s="229"/>
      <c r="P517" s="132" t="s">
        <v>16</v>
      </c>
      <c r="R517" s="229"/>
      <c r="S517" s="317"/>
      <c r="T517" s="239">
        <v>100</v>
      </c>
      <c r="V517" s="229">
        <v>536</v>
      </c>
    </row>
    <row r="518" spans="1:22" ht="15.75" customHeight="1">
      <c r="A518" s="261">
        <v>101</v>
      </c>
      <c r="B518" s="262">
        <v>2</v>
      </c>
      <c r="C518" s="229" t="s">
        <v>15</v>
      </c>
      <c r="D518" s="229" t="s">
        <v>17</v>
      </c>
      <c r="E518" s="229">
        <v>3</v>
      </c>
      <c r="F518" s="229">
        <v>97</v>
      </c>
      <c r="G518" s="17">
        <v>300000</v>
      </c>
      <c r="H518" s="229"/>
      <c r="I518" s="229"/>
      <c r="J518" s="229"/>
      <c r="K518" s="229"/>
      <c r="L518" s="53" t="s">
        <v>18</v>
      </c>
      <c r="M518" s="334" t="s">
        <v>689</v>
      </c>
      <c r="N518" s="229" t="s">
        <v>114</v>
      </c>
      <c r="O518" s="229">
        <v>0.1</v>
      </c>
      <c r="P518" s="132" t="s">
        <v>16</v>
      </c>
      <c r="R518" s="229"/>
      <c r="S518" s="315"/>
      <c r="T518" s="239">
        <v>99.9</v>
      </c>
      <c r="V518" s="229">
        <v>537</v>
      </c>
    </row>
    <row r="519" spans="1:22" ht="15.75" customHeight="1">
      <c r="A519" s="261">
        <v>101</v>
      </c>
      <c r="B519" s="262">
        <v>3</v>
      </c>
      <c r="C519" s="229" t="s">
        <v>15</v>
      </c>
      <c r="D519" s="229" t="s">
        <v>17</v>
      </c>
      <c r="E519" s="229">
        <v>3</v>
      </c>
      <c r="F519" s="229">
        <v>97</v>
      </c>
      <c r="G519" s="17">
        <v>300000</v>
      </c>
      <c r="H519" s="229"/>
      <c r="I519" s="229"/>
      <c r="J519" s="229"/>
      <c r="K519" s="229"/>
      <c r="L519" s="53" t="s">
        <v>18</v>
      </c>
      <c r="M519" s="334" t="s">
        <v>689</v>
      </c>
      <c r="N519" s="229" t="s">
        <v>114</v>
      </c>
      <c r="O519" s="229">
        <v>0.2</v>
      </c>
      <c r="P519" s="132" t="s">
        <v>16</v>
      </c>
      <c r="R519" s="229"/>
      <c r="S519" s="315"/>
      <c r="T519" s="239">
        <v>99.8</v>
      </c>
      <c r="V519" s="229">
        <v>538</v>
      </c>
    </row>
    <row r="520" spans="1:22" ht="15.75" customHeight="1">
      <c r="A520" s="261">
        <v>101</v>
      </c>
      <c r="B520" s="262">
        <v>4</v>
      </c>
      <c r="C520" s="229" t="s">
        <v>15</v>
      </c>
      <c r="D520" s="229" t="s">
        <v>17</v>
      </c>
      <c r="E520" s="229">
        <v>3</v>
      </c>
      <c r="F520" s="229">
        <v>97</v>
      </c>
      <c r="G520" s="17">
        <v>300000</v>
      </c>
      <c r="H520" s="229"/>
      <c r="I520" s="229"/>
      <c r="J520" s="229"/>
      <c r="K520" s="229"/>
      <c r="L520" s="53" t="s">
        <v>18</v>
      </c>
      <c r="M520" s="334" t="s">
        <v>689</v>
      </c>
      <c r="N520" s="229" t="s">
        <v>114</v>
      </c>
      <c r="O520" s="229">
        <v>0.3</v>
      </c>
      <c r="P520" s="132" t="s">
        <v>16</v>
      </c>
      <c r="R520" s="229"/>
      <c r="S520" s="315"/>
      <c r="T520" s="239">
        <v>99.7</v>
      </c>
      <c r="V520" s="229">
        <v>539</v>
      </c>
    </row>
    <row r="521" spans="1:22" ht="15.75" customHeight="1">
      <c r="A521" s="261">
        <v>101</v>
      </c>
      <c r="B521" s="262">
        <v>5</v>
      </c>
      <c r="C521" s="229" t="s">
        <v>15</v>
      </c>
      <c r="D521" s="229" t="s">
        <v>17</v>
      </c>
      <c r="E521" s="229">
        <v>3</v>
      </c>
      <c r="F521" s="229">
        <v>97</v>
      </c>
      <c r="G521" s="17">
        <v>300000</v>
      </c>
      <c r="H521" s="229"/>
      <c r="I521" s="229"/>
      <c r="J521" s="229"/>
      <c r="K521" s="229"/>
      <c r="L521" s="53" t="s">
        <v>18</v>
      </c>
      <c r="M521" s="334" t="s">
        <v>689</v>
      </c>
      <c r="N521" s="229" t="s">
        <v>114</v>
      </c>
      <c r="O521" s="229">
        <v>0.4</v>
      </c>
      <c r="P521" s="132" t="s">
        <v>16</v>
      </c>
      <c r="R521" s="229"/>
      <c r="S521" s="315"/>
      <c r="T521" s="239">
        <v>99.6</v>
      </c>
      <c r="V521" s="229">
        <v>540</v>
      </c>
    </row>
    <row r="522" spans="1:22" ht="15.75" customHeight="1">
      <c r="A522" s="261">
        <v>101</v>
      </c>
      <c r="B522" s="262">
        <v>6</v>
      </c>
      <c r="C522" s="229" t="s">
        <v>15</v>
      </c>
      <c r="D522" s="229" t="s">
        <v>17</v>
      </c>
      <c r="E522" s="229">
        <v>3</v>
      </c>
      <c r="F522" s="229">
        <v>97</v>
      </c>
      <c r="G522" s="17">
        <v>300000</v>
      </c>
      <c r="H522" s="229"/>
      <c r="I522" s="229"/>
      <c r="J522" s="229"/>
      <c r="K522" s="229"/>
      <c r="L522" s="53" t="s">
        <v>18</v>
      </c>
      <c r="M522" s="334" t="s">
        <v>689</v>
      </c>
      <c r="N522" s="229" t="s">
        <v>114</v>
      </c>
      <c r="O522" s="229">
        <v>0.5</v>
      </c>
      <c r="P522" s="132" t="s">
        <v>16</v>
      </c>
      <c r="R522" s="229"/>
      <c r="S522" s="315"/>
      <c r="T522" s="239">
        <v>99.5</v>
      </c>
      <c r="V522" s="229">
        <v>541</v>
      </c>
    </row>
    <row r="523" spans="1:22" ht="15.75" customHeight="1">
      <c r="A523" s="261">
        <v>101</v>
      </c>
      <c r="B523" s="262">
        <v>7</v>
      </c>
      <c r="C523" s="229" t="s">
        <v>15</v>
      </c>
      <c r="D523" s="229" t="s">
        <v>17</v>
      </c>
      <c r="E523" s="229">
        <v>3</v>
      </c>
      <c r="F523" s="229">
        <v>97</v>
      </c>
      <c r="G523" s="17">
        <v>300000</v>
      </c>
      <c r="H523" s="229"/>
      <c r="I523" s="229"/>
      <c r="J523" s="229"/>
      <c r="K523" s="229"/>
      <c r="L523" s="53" t="s">
        <v>18</v>
      </c>
      <c r="M523" s="334" t="s">
        <v>689</v>
      </c>
      <c r="N523" s="229" t="s">
        <v>114</v>
      </c>
      <c r="O523" s="229">
        <v>0.6</v>
      </c>
      <c r="P523" s="132" t="s">
        <v>16</v>
      </c>
      <c r="R523" s="229"/>
      <c r="S523" s="315"/>
      <c r="T523" s="239">
        <v>99.4</v>
      </c>
      <c r="V523" s="229">
        <v>542</v>
      </c>
    </row>
    <row r="524" spans="1:22" ht="15.75" customHeight="1">
      <c r="A524" s="263">
        <v>101</v>
      </c>
      <c r="B524" s="264">
        <v>8</v>
      </c>
      <c r="C524" s="240" t="s">
        <v>15</v>
      </c>
      <c r="D524" s="240" t="s">
        <v>17</v>
      </c>
      <c r="E524" s="240">
        <v>3</v>
      </c>
      <c r="F524" s="240">
        <v>97</v>
      </c>
      <c r="G524" s="40">
        <v>300000</v>
      </c>
      <c r="H524" s="240"/>
      <c r="I524" s="240"/>
      <c r="J524" s="240"/>
      <c r="K524" s="240"/>
      <c r="L524" s="245" t="s">
        <v>18</v>
      </c>
      <c r="M524" s="353" t="s">
        <v>689</v>
      </c>
      <c r="N524" s="240" t="s">
        <v>114</v>
      </c>
      <c r="O524" s="240">
        <v>0.7</v>
      </c>
      <c r="P524" s="319" t="s">
        <v>16</v>
      </c>
      <c r="Q524" s="354"/>
      <c r="R524" s="240"/>
      <c r="S524" s="316"/>
      <c r="T524" s="241">
        <v>99.3</v>
      </c>
      <c r="V524" s="229">
        <v>543</v>
      </c>
    </row>
    <row r="525" spans="1:22" ht="15.75" customHeight="1">
      <c r="A525" s="185">
        <v>102</v>
      </c>
      <c r="B525" s="186">
        <v>1</v>
      </c>
      <c r="C525" s="132" t="s">
        <v>15</v>
      </c>
      <c r="D525" s="132" t="s">
        <v>17</v>
      </c>
      <c r="E525" s="132">
        <v>100</v>
      </c>
      <c r="F525" s="132">
        <v>0</v>
      </c>
      <c r="G525" s="23"/>
      <c r="L525" s="132" t="s">
        <v>16</v>
      </c>
      <c r="O525" s="229"/>
      <c r="P525" s="132" t="s">
        <v>16</v>
      </c>
      <c r="T525" s="255">
        <v>100</v>
      </c>
      <c r="V525" s="229">
        <v>544</v>
      </c>
    </row>
    <row r="526" spans="1:22" ht="15.75" customHeight="1">
      <c r="A526" s="185">
        <v>102</v>
      </c>
      <c r="B526" s="186">
        <v>2</v>
      </c>
      <c r="C526" s="132" t="s">
        <v>15</v>
      </c>
      <c r="D526" s="132" t="s">
        <v>17</v>
      </c>
      <c r="E526" s="132">
        <v>100</v>
      </c>
      <c r="F526" s="132">
        <v>0</v>
      </c>
      <c r="G526" s="23"/>
      <c r="L526" s="132" t="s">
        <v>18</v>
      </c>
      <c r="M526" s="334" t="s">
        <v>688</v>
      </c>
      <c r="N526" s="132" t="s">
        <v>115</v>
      </c>
      <c r="O526" s="229">
        <v>0.5</v>
      </c>
      <c r="P526" s="132" t="s">
        <v>16</v>
      </c>
      <c r="T526" s="233">
        <v>99.5</v>
      </c>
      <c r="V526" s="229">
        <v>545</v>
      </c>
    </row>
    <row r="527" spans="1:22" ht="15.75" customHeight="1">
      <c r="A527" s="185">
        <v>102</v>
      </c>
      <c r="B527" s="186">
        <v>3</v>
      </c>
      <c r="C527" s="132" t="s">
        <v>15</v>
      </c>
      <c r="D527" s="132" t="s">
        <v>17</v>
      </c>
      <c r="E527" s="132">
        <v>100</v>
      </c>
      <c r="F527" s="132">
        <v>0</v>
      </c>
      <c r="G527" s="23"/>
      <c r="L527" s="132" t="s">
        <v>18</v>
      </c>
      <c r="M527" s="334" t="s">
        <v>688</v>
      </c>
      <c r="N527" s="132" t="s">
        <v>115</v>
      </c>
      <c r="O527" s="229">
        <v>1</v>
      </c>
      <c r="P527" s="132" t="s">
        <v>16</v>
      </c>
      <c r="T527" s="233">
        <v>99</v>
      </c>
      <c r="V527" s="229">
        <v>546</v>
      </c>
    </row>
    <row r="528" spans="1:22" ht="15.75" customHeight="1">
      <c r="A528" s="185">
        <v>102</v>
      </c>
      <c r="B528" s="186">
        <v>4</v>
      </c>
      <c r="C528" s="132" t="s">
        <v>15</v>
      </c>
      <c r="D528" s="132" t="s">
        <v>17</v>
      </c>
      <c r="E528" s="132">
        <v>100</v>
      </c>
      <c r="F528" s="132">
        <v>0</v>
      </c>
      <c r="G528" s="23"/>
      <c r="L528" s="132" t="s">
        <v>18</v>
      </c>
      <c r="M528" s="334" t="s">
        <v>688</v>
      </c>
      <c r="N528" s="132" t="s">
        <v>115</v>
      </c>
      <c r="O528" s="229">
        <v>1.5</v>
      </c>
      <c r="P528" s="132" t="s">
        <v>16</v>
      </c>
      <c r="T528" s="233">
        <v>98.5</v>
      </c>
      <c r="V528" s="229">
        <v>547</v>
      </c>
    </row>
    <row r="529" spans="1:22" ht="15.75" customHeight="1">
      <c r="A529" s="185">
        <v>102</v>
      </c>
      <c r="B529" s="186">
        <v>5</v>
      </c>
      <c r="C529" s="132" t="s">
        <v>15</v>
      </c>
      <c r="D529" s="132" t="s">
        <v>17</v>
      </c>
      <c r="E529" s="132">
        <v>100</v>
      </c>
      <c r="F529" s="132">
        <v>0</v>
      </c>
      <c r="G529" s="23"/>
      <c r="L529" s="132" t="s">
        <v>18</v>
      </c>
      <c r="M529" s="334" t="s">
        <v>688</v>
      </c>
      <c r="N529" s="132" t="s">
        <v>115</v>
      </c>
      <c r="O529" s="229">
        <v>2</v>
      </c>
      <c r="P529" s="132" t="s">
        <v>16</v>
      </c>
      <c r="T529" s="233">
        <v>98</v>
      </c>
      <c r="V529" s="229">
        <v>548</v>
      </c>
    </row>
    <row r="530" spans="1:22" ht="15.75" customHeight="1">
      <c r="A530" s="268">
        <v>103</v>
      </c>
      <c r="B530" s="265">
        <v>1</v>
      </c>
      <c r="C530" s="254" t="s">
        <v>15</v>
      </c>
      <c r="D530" s="254" t="s">
        <v>17</v>
      </c>
      <c r="E530" s="254">
        <v>100</v>
      </c>
      <c r="F530" s="254">
        <v>0</v>
      </c>
      <c r="G530" s="30"/>
      <c r="H530" s="257"/>
      <c r="I530" s="257"/>
      <c r="J530" s="257"/>
      <c r="K530" s="257"/>
      <c r="L530" s="254" t="s">
        <v>16</v>
      </c>
      <c r="M530" s="355"/>
      <c r="N530" s="266"/>
      <c r="O530" s="257"/>
      <c r="P530" s="254" t="s">
        <v>16</v>
      </c>
      <c r="Q530" s="355"/>
      <c r="R530" s="257"/>
      <c r="S530" s="257"/>
      <c r="T530" s="255">
        <v>100</v>
      </c>
      <c r="V530" s="229">
        <v>549</v>
      </c>
    </row>
    <row r="531" spans="1:22" ht="15.75" customHeight="1">
      <c r="A531" s="270">
        <v>103</v>
      </c>
      <c r="B531" s="186">
        <v>2</v>
      </c>
      <c r="C531" s="132" t="s">
        <v>15</v>
      </c>
      <c r="D531" s="132" t="s">
        <v>17</v>
      </c>
      <c r="E531" s="132">
        <v>100</v>
      </c>
      <c r="F531" s="132">
        <v>0</v>
      </c>
      <c r="G531" s="23"/>
      <c r="L531" s="132" t="s">
        <v>18</v>
      </c>
      <c r="M531" s="334" t="s">
        <v>688</v>
      </c>
      <c r="N531" s="132" t="s">
        <v>116</v>
      </c>
      <c r="O531" s="132">
        <v>2</v>
      </c>
      <c r="P531" s="132" t="s">
        <v>16</v>
      </c>
      <c r="T531" s="233">
        <v>98</v>
      </c>
      <c r="V531" s="229">
        <v>550</v>
      </c>
    </row>
    <row r="532" spans="1:22" ht="15.75" customHeight="1">
      <c r="A532" s="270">
        <v>103</v>
      </c>
      <c r="B532" s="186">
        <v>3</v>
      </c>
      <c r="C532" s="132" t="s">
        <v>15</v>
      </c>
      <c r="D532" s="132" t="s">
        <v>17</v>
      </c>
      <c r="E532" s="132">
        <v>100</v>
      </c>
      <c r="F532" s="132">
        <v>0</v>
      </c>
      <c r="G532" s="23"/>
      <c r="L532" s="132" t="s">
        <v>18</v>
      </c>
      <c r="M532" s="334" t="s">
        <v>688</v>
      </c>
      <c r="N532" s="132" t="s">
        <v>117</v>
      </c>
      <c r="O532" s="132">
        <v>2</v>
      </c>
      <c r="P532" s="132" t="s">
        <v>16</v>
      </c>
      <c r="T532" s="233">
        <v>98</v>
      </c>
      <c r="V532" s="229">
        <v>551</v>
      </c>
    </row>
    <row r="533" spans="1:22" ht="15.75" customHeight="1">
      <c r="A533" s="270">
        <v>103</v>
      </c>
      <c r="B533" s="186">
        <v>4</v>
      </c>
      <c r="C533" s="132" t="s">
        <v>15</v>
      </c>
      <c r="D533" s="132" t="s">
        <v>17</v>
      </c>
      <c r="E533" s="132">
        <v>100</v>
      </c>
      <c r="F533" s="132">
        <v>0</v>
      </c>
      <c r="G533" s="23"/>
      <c r="L533" s="132" t="s">
        <v>18</v>
      </c>
      <c r="M533" s="334" t="s">
        <v>688</v>
      </c>
      <c r="N533" s="132" t="s">
        <v>118</v>
      </c>
      <c r="O533" s="132">
        <v>2</v>
      </c>
      <c r="P533" s="132" t="s">
        <v>16</v>
      </c>
      <c r="T533" s="233">
        <v>98</v>
      </c>
      <c r="V533" s="229">
        <v>552</v>
      </c>
    </row>
    <row r="534" spans="1:22" s="132" customFormat="1" ht="15.75" customHeight="1">
      <c r="A534" s="268">
        <v>104</v>
      </c>
      <c r="B534" s="265">
        <v>1</v>
      </c>
      <c r="C534" s="254" t="s">
        <v>15</v>
      </c>
      <c r="D534" s="254" t="s">
        <v>17</v>
      </c>
      <c r="E534" s="254">
        <v>100</v>
      </c>
      <c r="F534" s="254">
        <v>0</v>
      </c>
      <c r="G534" s="42">
        <v>548277</v>
      </c>
      <c r="H534" s="254"/>
      <c r="I534" s="254">
        <v>1.0900000000000001</v>
      </c>
      <c r="J534" s="254" t="s">
        <v>25</v>
      </c>
      <c r="K534" s="254"/>
      <c r="L534" s="254" t="s">
        <v>16</v>
      </c>
      <c r="M534" s="355"/>
      <c r="N534" s="254"/>
      <c r="O534" s="254"/>
      <c r="P534" s="254" t="s">
        <v>16</v>
      </c>
      <c r="Q534" s="355"/>
      <c r="R534" s="254"/>
      <c r="S534" s="254"/>
      <c r="T534" s="255">
        <v>95</v>
      </c>
      <c r="V534" s="229">
        <v>553</v>
      </c>
    </row>
    <row r="535" spans="1:22" s="132" customFormat="1" ht="15.75" customHeight="1">
      <c r="A535" s="270">
        <v>104</v>
      </c>
      <c r="B535" s="186">
        <v>2</v>
      </c>
      <c r="C535" s="132" t="s">
        <v>15</v>
      </c>
      <c r="D535" s="132" t="s">
        <v>17</v>
      </c>
      <c r="E535" s="132">
        <v>100</v>
      </c>
      <c r="F535" s="132">
        <v>0</v>
      </c>
      <c r="G535" s="22">
        <v>548277</v>
      </c>
      <c r="I535" s="132">
        <v>1.0900000000000001</v>
      </c>
      <c r="J535" s="132" t="s">
        <v>25</v>
      </c>
      <c r="L535" s="132" t="s">
        <v>18</v>
      </c>
      <c r="M535" s="334" t="s">
        <v>688</v>
      </c>
      <c r="N535" s="132" t="s">
        <v>119</v>
      </c>
      <c r="O535" s="132">
        <v>5</v>
      </c>
      <c r="P535" s="132" t="s">
        <v>16</v>
      </c>
      <c r="Q535" s="334"/>
      <c r="T535" s="233">
        <v>95</v>
      </c>
      <c r="V535" s="229">
        <v>554</v>
      </c>
    </row>
    <row r="536" spans="1:22" ht="15.75" customHeight="1">
      <c r="A536" s="272">
        <v>105</v>
      </c>
      <c r="B536" s="265">
        <v>1</v>
      </c>
      <c r="C536" s="254" t="s">
        <v>15</v>
      </c>
      <c r="D536" s="254" t="s">
        <v>17</v>
      </c>
      <c r="E536" s="254">
        <v>100</v>
      </c>
      <c r="F536" s="254">
        <v>0</v>
      </c>
      <c r="G536" s="42"/>
      <c r="H536" s="254">
        <v>40000</v>
      </c>
      <c r="I536" s="254">
        <v>1.25</v>
      </c>
      <c r="J536" s="254" t="s">
        <v>25</v>
      </c>
      <c r="K536" s="254"/>
      <c r="L536" s="254" t="s">
        <v>16</v>
      </c>
      <c r="M536" s="355"/>
      <c r="N536" s="254"/>
      <c r="O536" s="254"/>
      <c r="P536" s="254" t="s">
        <v>16</v>
      </c>
      <c r="Q536" s="355"/>
      <c r="R536" s="254"/>
      <c r="S536" s="254"/>
      <c r="T536" s="255">
        <v>100</v>
      </c>
      <c r="V536" s="229">
        <v>555</v>
      </c>
    </row>
    <row r="537" spans="1:22" ht="15.75" customHeight="1">
      <c r="A537" s="193">
        <v>105</v>
      </c>
      <c r="B537" s="186">
        <v>2</v>
      </c>
      <c r="C537" s="132" t="s">
        <v>15</v>
      </c>
      <c r="D537" s="132" t="s">
        <v>17</v>
      </c>
      <c r="E537" s="132">
        <v>100</v>
      </c>
      <c r="F537" s="132">
        <v>0</v>
      </c>
      <c r="G537" s="22"/>
      <c r="H537" s="132">
        <v>40000</v>
      </c>
      <c r="I537" s="132">
        <v>1.25</v>
      </c>
      <c r="J537" s="132" t="s">
        <v>25</v>
      </c>
      <c r="K537" s="132"/>
      <c r="L537" s="132" t="s">
        <v>18</v>
      </c>
      <c r="M537" s="334" t="s">
        <v>688</v>
      </c>
      <c r="N537" s="132" t="s">
        <v>120</v>
      </c>
      <c r="O537" s="132">
        <v>1</v>
      </c>
      <c r="P537" s="132" t="s">
        <v>16</v>
      </c>
      <c r="R537" s="132"/>
      <c r="S537" s="132"/>
      <c r="T537" s="233">
        <v>99</v>
      </c>
      <c r="V537" s="229">
        <v>556</v>
      </c>
    </row>
    <row r="538" spans="1:22" ht="15.75" customHeight="1">
      <c r="A538" s="193">
        <v>105</v>
      </c>
      <c r="B538" s="186">
        <v>3</v>
      </c>
      <c r="C538" s="132" t="s">
        <v>15</v>
      </c>
      <c r="D538" s="132" t="s">
        <v>17</v>
      </c>
      <c r="E538" s="132">
        <v>100</v>
      </c>
      <c r="F538" s="132">
        <v>0</v>
      </c>
      <c r="G538" s="22"/>
      <c r="H538" s="132">
        <v>40000</v>
      </c>
      <c r="I538" s="132">
        <v>1.25</v>
      </c>
      <c r="J538" s="132" t="s">
        <v>25</v>
      </c>
      <c r="K538" s="132"/>
      <c r="L538" s="132" t="s">
        <v>18</v>
      </c>
      <c r="M538" s="334" t="s">
        <v>688</v>
      </c>
      <c r="N538" s="132" t="s">
        <v>120</v>
      </c>
      <c r="O538" s="132">
        <v>5</v>
      </c>
      <c r="P538" s="132" t="s">
        <v>16</v>
      </c>
      <c r="R538" s="132"/>
      <c r="S538" s="132"/>
      <c r="T538" s="233">
        <v>95</v>
      </c>
      <c r="V538" s="229">
        <v>557</v>
      </c>
    </row>
    <row r="539" spans="1:22" ht="15.75" customHeight="1">
      <c r="A539" s="193">
        <v>105</v>
      </c>
      <c r="B539" s="186">
        <v>4</v>
      </c>
      <c r="C539" s="132" t="s">
        <v>15</v>
      </c>
      <c r="D539" s="132" t="s">
        <v>17</v>
      </c>
      <c r="E539" s="132">
        <v>100</v>
      </c>
      <c r="F539" s="132">
        <v>0</v>
      </c>
      <c r="G539" s="22"/>
      <c r="H539" s="132">
        <v>40000</v>
      </c>
      <c r="I539" s="132">
        <v>1.25</v>
      </c>
      <c r="J539" s="132" t="s">
        <v>25</v>
      </c>
      <c r="K539" s="132"/>
      <c r="L539" s="132" t="s">
        <v>18</v>
      </c>
      <c r="M539" s="334" t="s">
        <v>688</v>
      </c>
      <c r="N539" s="132" t="s">
        <v>120</v>
      </c>
      <c r="O539" s="132">
        <v>20</v>
      </c>
      <c r="P539" s="132" t="s">
        <v>16</v>
      </c>
      <c r="R539" s="132"/>
      <c r="S539" s="132"/>
      <c r="T539" s="233">
        <v>80</v>
      </c>
      <c r="V539" s="229">
        <v>558</v>
      </c>
    </row>
    <row r="540" spans="1:22" ht="15.75" customHeight="1">
      <c r="A540" s="268">
        <v>106</v>
      </c>
      <c r="B540" s="265">
        <v>1</v>
      </c>
      <c r="C540" s="254" t="s">
        <v>15</v>
      </c>
      <c r="D540" s="254" t="s">
        <v>17</v>
      </c>
      <c r="E540" s="254">
        <v>100</v>
      </c>
      <c r="F540" s="254">
        <v>0</v>
      </c>
      <c r="G540" s="30"/>
      <c r="H540" s="257"/>
      <c r="I540" s="257"/>
      <c r="J540" s="257"/>
      <c r="K540" s="257"/>
      <c r="L540" s="254" t="s">
        <v>16</v>
      </c>
      <c r="M540" s="355"/>
      <c r="N540" s="257"/>
      <c r="O540" s="257"/>
      <c r="P540" s="254" t="s">
        <v>16</v>
      </c>
      <c r="Q540" s="355"/>
      <c r="R540" s="257"/>
      <c r="S540" s="257"/>
      <c r="T540" s="255">
        <v>100</v>
      </c>
      <c r="V540" s="229">
        <v>559</v>
      </c>
    </row>
    <row r="541" spans="1:22" ht="15.75" customHeight="1">
      <c r="A541" s="270">
        <v>106</v>
      </c>
      <c r="B541" s="186">
        <v>2</v>
      </c>
      <c r="C541" s="132" t="s">
        <v>15</v>
      </c>
      <c r="D541" s="132" t="s">
        <v>17</v>
      </c>
      <c r="E541" s="132">
        <v>100</v>
      </c>
      <c r="F541" s="132">
        <v>0</v>
      </c>
      <c r="G541" s="23"/>
      <c r="L541" s="132" t="s">
        <v>18</v>
      </c>
      <c r="M541" s="334" t="s">
        <v>688</v>
      </c>
      <c r="N541" s="274" t="s">
        <v>121</v>
      </c>
      <c r="O541" s="132">
        <v>2</v>
      </c>
      <c r="P541" s="132" t="s">
        <v>16</v>
      </c>
      <c r="T541" s="233">
        <v>98</v>
      </c>
      <c r="V541" s="229">
        <v>560</v>
      </c>
    </row>
    <row r="542" spans="1:22" ht="15.75" customHeight="1">
      <c r="A542" s="270">
        <v>106</v>
      </c>
      <c r="B542" s="186">
        <v>3</v>
      </c>
      <c r="C542" s="132" t="s">
        <v>15</v>
      </c>
      <c r="D542" s="132" t="s">
        <v>17</v>
      </c>
      <c r="E542" s="132">
        <v>100</v>
      </c>
      <c r="F542" s="132">
        <v>0</v>
      </c>
      <c r="G542" s="23"/>
      <c r="L542" s="132" t="s">
        <v>18</v>
      </c>
      <c r="M542" s="334" t="s">
        <v>688</v>
      </c>
      <c r="N542" s="274" t="s">
        <v>122</v>
      </c>
      <c r="O542" s="132">
        <v>2</v>
      </c>
      <c r="P542" s="132" t="s">
        <v>16</v>
      </c>
      <c r="T542" s="233">
        <v>98</v>
      </c>
      <c r="V542" s="229">
        <v>561</v>
      </c>
    </row>
    <row r="543" spans="1:22" ht="15.75" customHeight="1">
      <c r="A543" s="270">
        <v>106</v>
      </c>
      <c r="B543" s="186">
        <v>4</v>
      </c>
      <c r="C543" s="132" t="s">
        <v>15</v>
      </c>
      <c r="D543" s="132" t="s">
        <v>17</v>
      </c>
      <c r="E543" s="132">
        <v>100</v>
      </c>
      <c r="F543" s="132">
        <v>0</v>
      </c>
      <c r="G543" s="23"/>
      <c r="L543" s="132" t="s">
        <v>18</v>
      </c>
      <c r="M543" s="334" t="s">
        <v>688</v>
      </c>
      <c r="N543" s="274" t="s">
        <v>123</v>
      </c>
      <c r="O543" s="132">
        <v>2</v>
      </c>
      <c r="P543" s="132" t="s">
        <v>16</v>
      </c>
      <c r="T543" s="233">
        <v>98</v>
      </c>
      <c r="V543" s="229">
        <v>562</v>
      </c>
    </row>
    <row r="544" spans="1:22" s="132" customFormat="1" ht="15.75" customHeight="1">
      <c r="A544" s="268">
        <v>107</v>
      </c>
      <c r="B544" s="265">
        <v>1</v>
      </c>
      <c r="C544" s="254" t="s">
        <v>15</v>
      </c>
      <c r="D544" s="254" t="s">
        <v>17</v>
      </c>
      <c r="E544" s="254">
        <v>100</v>
      </c>
      <c r="F544" s="254">
        <v>0</v>
      </c>
      <c r="G544" s="42"/>
      <c r="H544" s="254"/>
      <c r="I544" s="254">
        <v>1.25</v>
      </c>
      <c r="J544" s="254" t="s">
        <v>25</v>
      </c>
      <c r="K544" s="254"/>
      <c r="L544" s="254" t="s">
        <v>16</v>
      </c>
      <c r="M544" s="355"/>
      <c r="N544" s="254"/>
      <c r="O544" s="254"/>
      <c r="P544" s="254" t="s">
        <v>18</v>
      </c>
      <c r="Q544" s="356" t="s">
        <v>689</v>
      </c>
      <c r="R544" s="254" t="s">
        <v>124</v>
      </c>
      <c r="S544" s="254">
        <v>10</v>
      </c>
      <c r="T544" s="255">
        <v>90</v>
      </c>
      <c r="V544" s="229">
        <v>563</v>
      </c>
    </row>
    <row r="545" spans="1:22" s="132" customFormat="1" ht="15.75" customHeight="1">
      <c r="A545" s="270">
        <v>107</v>
      </c>
      <c r="B545" s="186">
        <v>2</v>
      </c>
      <c r="C545" s="132" t="s">
        <v>15</v>
      </c>
      <c r="D545" s="132" t="s">
        <v>17</v>
      </c>
      <c r="E545" s="132">
        <v>100</v>
      </c>
      <c r="F545" s="132">
        <v>0</v>
      </c>
      <c r="G545" s="22"/>
      <c r="I545" s="132">
        <v>1.25</v>
      </c>
      <c r="J545" s="132" t="s">
        <v>25</v>
      </c>
      <c r="L545" s="132" t="s">
        <v>18</v>
      </c>
      <c r="M545" s="334" t="s">
        <v>688</v>
      </c>
      <c r="N545" s="132" t="s">
        <v>125</v>
      </c>
      <c r="O545" s="132">
        <v>0</v>
      </c>
      <c r="P545" s="132" t="s">
        <v>18</v>
      </c>
      <c r="Q545" s="334" t="s">
        <v>689</v>
      </c>
      <c r="R545" s="132" t="s">
        <v>124</v>
      </c>
      <c r="S545" s="132">
        <v>10</v>
      </c>
      <c r="T545" s="233">
        <v>90</v>
      </c>
      <c r="V545" s="229">
        <v>564</v>
      </c>
    </row>
    <row r="546" spans="1:22" s="132" customFormat="1" ht="15.75" customHeight="1">
      <c r="A546" s="270">
        <v>107</v>
      </c>
      <c r="B546" s="186">
        <v>3</v>
      </c>
      <c r="C546" s="132" t="s">
        <v>15</v>
      </c>
      <c r="D546" s="132" t="s">
        <v>17</v>
      </c>
      <c r="E546" s="132">
        <v>100</v>
      </c>
      <c r="F546" s="132">
        <v>0</v>
      </c>
      <c r="G546" s="22"/>
      <c r="I546" s="132">
        <v>1.25</v>
      </c>
      <c r="J546" s="132" t="s">
        <v>25</v>
      </c>
      <c r="L546" s="132" t="s">
        <v>18</v>
      </c>
      <c r="M546" s="334" t="s">
        <v>688</v>
      </c>
      <c r="N546" s="132" t="s">
        <v>110</v>
      </c>
      <c r="O546" s="132">
        <v>0.5</v>
      </c>
      <c r="P546" s="132" t="s">
        <v>18</v>
      </c>
      <c r="Q546" s="334" t="s">
        <v>689</v>
      </c>
      <c r="R546" s="132" t="s">
        <v>124</v>
      </c>
      <c r="S546" s="132">
        <v>10</v>
      </c>
      <c r="T546" s="233">
        <v>89.5</v>
      </c>
      <c r="V546" s="229">
        <v>565</v>
      </c>
    </row>
    <row r="547" spans="1:22" s="132" customFormat="1" ht="15.75" customHeight="1">
      <c r="A547" s="270">
        <v>107</v>
      </c>
      <c r="B547" s="186">
        <v>4</v>
      </c>
      <c r="C547" s="132" t="s">
        <v>15</v>
      </c>
      <c r="D547" s="132" t="s">
        <v>17</v>
      </c>
      <c r="E547" s="132">
        <v>100</v>
      </c>
      <c r="F547" s="132">
        <v>0</v>
      </c>
      <c r="G547" s="22"/>
      <c r="I547" s="132">
        <v>1.25</v>
      </c>
      <c r="J547" s="132" t="s">
        <v>25</v>
      </c>
      <c r="L547" s="132" t="s">
        <v>18</v>
      </c>
      <c r="M547" s="334" t="s">
        <v>688</v>
      </c>
      <c r="N547" s="132" t="s">
        <v>126</v>
      </c>
      <c r="O547" s="132">
        <v>0.5</v>
      </c>
      <c r="P547" s="132" t="s">
        <v>18</v>
      </c>
      <c r="Q547" s="334" t="s">
        <v>689</v>
      </c>
      <c r="R547" s="132" t="s">
        <v>124</v>
      </c>
      <c r="S547" s="132">
        <v>10</v>
      </c>
      <c r="T547" s="233">
        <v>89.5</v>
      </c>
      <c r="V547" s="229">
        <v>566</v>
      </c>
    </row>
    <row r="548" spans="1:22" s="132" customFormat="1" ht="15.75" customHeight="1">
      <c r="A548" s="270">
        <v>107</v>
      </c>
      <c r="B548" s="186">
        <v>5</v>
      </c>
      <c r="C548" s="132" t="s">
        <v>15</v>
      </c>
      <c r="D548" s="132" t="s">
        <v>17</v>
      </c>
      <c r="E548" s="132">
        <v>100</v>
      </c>
      <c r="F548" s="132">
        <v>0</v>
      </c>
      <c r="G548" s="22"/>
      <c r="I548" s="132">
        <v>1.25</v>
      </c>
      <c r="J548" s="132" t="s">
        <v>25</v>
      </c>
      <c r="L548" s="132" t="s">
        <v>18</v>
      </c>
      <c r="M548" s="334" t="s">
        <v>688</v>
      </c>
      <c r="N548" s="132" t="s">
        <v>110</v>
      </c>
      <c r="O548" s="132">
        <v>1</v>
      </c>
      <c r="P548" s="132" t="s">
        <v>18</v>
      </c>
      <c r="Q548" s="334" t="s">
        <v>689</v>
      </c>
      <c r="R548" s="132" t="s">
        <v>124</v>
      </c>
      <c r="S548" s="132">
        <v>10</v>
      </c>
      <c r="T548" s="233">
        <v>89</v>
      </c>
      <c r="V548" s="229">
        <v>567</v>
      </c>
    </row>
    <row r="549" spans="1:22" s="132" customFormat="1" ht="15.75" customHeight="1">
      <c r="A549" s="270">
        <v>107</v>
      </c>
      <c r="B549" s="186">
        <v>6</v>
      </c>
      <c r="C549" s="132" t="s">
        <v>15</v>
      </c>
      <c r="D549" s="132" t="s">
        <v>17</v>
      </c>
      <c r="E549" s="132">
        <v>100</v>
      </c>
      <c r="F549" s="132">
        <v>0</v>
      </c>
      <c r="G549" s="22"/>
      <c r="I549" s="132">
        <v>1.25</v>
      </c>
      <c r="J549" s="132" t="s">
        <v>25</v>
      </c>
      <c r="L549" s="132" t="s">
        <v>18</v>
      </c>
      <c r="M549" s="334" t="s">
        <v>688</v>
      </c>
      <c r="N549" s="132" t="s">
        <v>126</v>
      </c>
      <c r="O549" s="132">
        <v>1</v>
      </c>
      <c r="P549" s="132" t="s">
        <v>18</v>
      </c>
      <c r="Q549" s="334" t="s">
        <v>689</v>
      </c>
      <c r="R549" s="132" t="s">
        <v>124</v>
      </c>
      <c r="S549" s="132">
        <v>10</v>
      </c>
      <c r="T549" s="233">
        <v>89</v>
      </c>
      <c r="V549" s="229">
        <v>568</v>
      </c>
    </row>
    <row r="550" spans="1:22" s="132" customFormat="1" ht="15.75" customHeight="1">
      <c r="A550" s="270">
        <v>107</v>
      </c>
      <c r="B550" s="186">
        <v>7</v>
      </c>
      <c r="C550" s="132" t="s">
        <v>15</v>
      </c>
      <c r="D550" s="132" t="s">
        <v>17</v>
      </c>
      <c r="E550" s="132">
        <v>100</v>
      </c>
      <c r="F550" s="132">
        <v>0</v>
      </c>
      <c r="G550" s="22"/>
      <c r="I550" s="132">
        <v>1.25</v>
      </c>
      <c r="J550" s="132" t="s">
        <v>25</v>
      </c>
      <c r="L550" s="132" t="s">
        <v>18</v>
      </c>
      <c r="M550" s="334" t="s">
        <v>688</v>
      </c>
      <c r="N550" s="132" t="s">
        <v>110</v>
      </c>
      <c r="O550" s="132">
        <v>2</v>
      </c>
      <c r="P550" s="132" t="s">
        <v>18</v>
      </c>
      <c r="Q550" s="334" t="s">
        <v>689</v>
      </c>
      <c r="R550" s="132" t="s">
        <v>124</v>
      </c>
      <c r="S550" s="132">
        <v>10</v>
      </c>
      <c r="T550" s="233">
        <v>88</v>
      </c>
      <c r="V550" s="229">
        <v>569</v>
      </c>
    </row>
    <row r="551" spans="1:22" s="132" customFormat="1" ht="15.75" customHeight="1">
      <c r="A551" s="270">
        <v>107</v>
      </c>
      <c r="B551" s="186">
        <v>8</v>
      </c>
      <c r="C551" s="132" t="s">
        <v>15</v>
      </c>
      <c r="D551" s="132" t="s">
        <v>17</v>
      </c>
      <c r="E551" s="132">
        <v>100</v>
      </c>
      <c r="F551" s="132">
        <v>0</v>
      </c>
      <c r="G551" s="22"/>
      <c r="I551" s="132">
        <v>1.25</v>
      </c>
      <c r="J551" s="132" t="s">
        <v>25</v>
      </c>
      <c r="L551" s="132" t="s">
        <v>18</v>
      </c>
      <c r="M551" s="334" t="s">
        <v>688</v>
      </c>
      <c r="N551" s="132" t="s">
        <v>126</v>
      </c>
      <c r="O551" s="132">
        <v>2</v>
      </c>
      <c r="P551" s="132" t="s">
        <v>18</v>
      </c>
      <c r="Q551" s="334" t="s">
        <v>689</v>
      </c>
      <c r="R551" s="132" t="s">
        <v>124</v>
      </c>
      <c r="S551" s="132">
        <v>10</v>
      </c>
      <c r="T551" s="233">
        <v>88</v>
      </c>
      <c r="V551" s="229">
        <v>570</v>
      </c>
    </row>
    <row r="552" spans="1:22" s="132" customFormat="1" ht="15.75" customHeight="1">
      <c r="A552" s="270">
        <v>107</v>
      </c>
      <c r="B552" s="186">
        <v>9</v>
      </c>
      <c r="C552" s="132" t="s">
        <v>15</v>
      </c>
      <c r="D552" s="132" t="s">
        <v>17</v>
      </c>
      <c r="E552" s="132">
        <v>100</v>
      </c>
      <c r="F552" s="132">
        <v>0</v>
      </c>
      <c r="G552" s="22"/>
      <c r="I552" s="132">
        <v>1.25</v>
      </c>
      <c r="J552" s="132" t="s">
        <v>25</v>
      </c>
      <c r="L552" s="132" t="s">
        <v>18</v>
      </c>
      <c r="M552" s="334" t="s">
        <v>688</v>
      </c>
      <c r="N552" s="132" t="s">
        <v>110</v>
      </c>
      <c r="O552" s="132">
        <v>5</v>
      </c>
      <c r="P552" s="132" t="s">
        <v>18</v>
      </c>
      <c r="Q552" s="334" t="s">
        <v>689</v>
      </c>
      <c r="R552" s="132" t="s">
        <v>124</v>
      </c>
      <c r="S552" s="132">
        <v>10</v>
      </c>
      <c r="T552" s="233">
        <v>85</v>
      </c>
      <c r="V552" s="229">
        <v>571</v>
      </c>
    </row>
    <row r="553" spans="1:22" s="132" customFormat="1" ht="15.75" customHeight="1">
      <c r="A553" s="270">
        <v>107</v>
      </c>
      <c r="B553" s="186">
        <v>10</v>
      </c>
      <c r="C553" s="132" t="s">
        <v>15</v>
      </c>
      <c r="D553" s="132" t="s">
        <v>17</v>
      </c>
      <c r="E553" s="132">
        <v>100</v>
      </c>
      <c r="F553" s="132">
        <v>0</v>
      </c>
      <c r="G553" s="22"/>
      <c r="I553" s="132">
        <v>1.25</v>
      </c>
      <c r="J553" s="132" t="s">
        <v>25</v>
      </c>
      <c r="L553" s="132" t="s">
        <v>18</v>
      </c>
      <c r="M553" s="334" t="s">
        <v>688</v>
      </c>
      <c r="N553" s="132" t="s">
        <v>126</v>
      </c>
      <c r="O553" s="132">
        <v>5</v>
      </c>
      <c r="P553" s="132" t="s">
        <v>18</v>
      </c>
      <c r="Q553" s="334" t="s">
        <v>689</v>
      </c>
      <c r="R553" s="132" t="s">
        <v>124</v>
      </c>
      <c r="S553" s="132">
        <v>10</v>
      </c>
      <c r="T553" s="233">
        <v>85</v>
      </c>
      <c r="V553" s="229">
        <v>572</v>
      </c>
    </row>
    <row r="554" spans="1:22" s="132" customFormat="1" ht="15.75" customHeight="1">
      <c r="A554" s="270">
        <v>107</v>
      </c>
      <c r="B554" s="186">
        <v>11</v>
      </c>
      <c r="C554" s="132" t="s">
        <v>15</v>
      </c>
      <c r="D554" s="132" t="s">
        <v>17</v>
      </c>
      <c r="E554" s="132">
        <v>100</v>
      </c>
      <c r="F554" s="132">
        <v>0</v>
      </c>
      <c r="G554" s="22"/>
      <c r="I554" s="132">
        <v>1.25</v>
      </c>
      <c r="J554" s="132" t="s">
        <v>25</v>
      </c>
      <c r="L554" s="132" t="s">
        <v>18</v>
      </c>
      <c r="M554" s="334" t="s">
        <v>688</v>
      </c>
      <c r="N554" s="132" t="s">
        <v>127</v>
      </c>
      <c r="O554" s="132">
        <v>2</v>
      </c>
      <c r="P554" s="132" t="s">
        <v>18</v>
      </c>
      <c r="Q554" s="353" t="s">
        <v>689</v>
      </c>
      <c r="R554" s="132" t="s">
        <v>124</v>
      </c>
      <c r="S554" s="132">
        <v>10</v>
      </c>
      <c r="T554" s="233">
        <v>88</v>
      </c>
      <c r="V554" s="229">
        <v>573</v>
      </c>
    </row>
    <row r="555" spans="1:22" s="132" customFormat="1" ht="15.75" customHeight="1">
      <c r="A555" s="268">
        <v>108</v>
      </c>
      <c r="B555" s="265">
        <v>1</v>
      </c>
      <c r="C555" s="254" t="s">
        <v>15</v>
      </c>
      <c r="D555" s="254" t="s">
        <v>17</v>
      </c>
      <c r="E555" s="254">
        <v>100</v>
      </c>
      <c r="F555" s="254">
        <v>0</v>
      </c>
      <c r="G555" s="42"/>
      <c r="H555" s="254"/>
      <c r="I555" s="254">
        <v>1.25</v>
      </c>
      <c r="J555" s="254" t="s">
        <v>25</v>
      </c>
      <c r="K555" s="254"/>
      <c r="L555" s="254" t="s">
        <v>16</v>
      </c>
      <c r="M555" s="355"/>
      <c r="N555" s="254"/>
      <c r="O555" s="254"/>
      <c r="P555" s="254" t="s">
        <v>16</v>
      </c>
      <c r="Q555" s="334"/>
      <c r="R555" s="254"/>
      <c r="S555" s="254"/>
      <c r="T555" s="255">
        <v>100</v>
      </c>
      <c r="V555" s="229">
        <v>574</v>
      </c>
    </row>
    <row r="556" spans="1:22" s="132" customFormat="1" ht="15.75" customHeight="1">
      <c r="A556" s="270">
        <v>108</v>
      </c>
      <c r="B556" s="186">
        <v>2</v>
      </c>
      <c r="C556" s="132" t="s">
        <v>15</v>
      </c>
      <c r="D556" s="132" t="s">
        <v>17</v>
      </c>
      <c r="E556" s="132">
        <v>100</v>
      </c>
      <c r="F556" s="132">
        <v>0</v>
      </c>
      <c r="G556" s="22"/>
      <c r="I556" s="132">
        <v>1.25</v>
      </c>
      <c r="J556" s="132" t="s">
        <v>25</v>
      </c>
      <c r="L556" s="132" t="s">
        <v>18</v>
      </c>
      <c r="M556" s="334" t="s">
        <v>128</v>
      </c>
      <c r="N556" s="132" t="s">
        <v>79</v>
      </c>
      <c r="O556" s="132">
        <v>10</v>
      </c>
      <c r="P556" s="132" t="s">
        <v>16</v>
      </c>
      <c r="Q556" s="334"/>
      <c r="T556" s="233">
        <v>90</v>
      </c>
      <c r="V556" s="229">
        <v>575</v>
      </c>
    </row>
    <row r="557" spans="1:22" s="132" customFormat="1" ht="15.75" customHeight="1">
      <c r="A557" s="270">
        <v>108</v>
      </c>
      <c r="B557" s="186">
        <v>3</v>
      </c>
      <c r="C557" s="132" t="s">
        <v>15</v>
      </c>
      <c r="D557" s="132" t="s">
        <v>17</v>
      </c>
      <c r="E557" s="132">
        <v>100</v>
      </c>
      <c r="F557" s="132">
        <v>0</v>
      </c>
      <c r="G557" s="22"/>
      <c r="I557" s="132">
        <v>1.25</v>
      </c>
      <c r="J557" s="132" t="s">
        <v>25</v>
      </c>
      <c r="L557" s="132" t="s">
        <v>18</v>
      </c>
      <c r="M557" s="334" t="s">
        <v>128</v>
      </c>
      <c r="N557" s="132" t="s">
        <v>79</v>
      </c>
      <c r="O557" s="132">
        <v>20</v>
      </c>
      <c r="P557" s="132" t="s">
        <v>16</v>
      </c>
      <c r="Q557" s="334"/>
      <c r="T557" s="233">
        <v>80</v>
      </c>
      <c r="V557" s="229">
        <v>576</v>
      </c>
    </row>
    <row r="558" spans="1:22" s="132" customFormat="1" ht="15.75" customHeight="1">
      <c r="A558" s="270">
        <v>108</v>
      </c>
      <c r="B558" s="186">
        <v>4</v>
      </c>
      <c r="C558" s="132" t="s">
        <v>15</v>
      </c>
      <c r="D558" s="132" t="s">
        <v>17</v>
      </c>
      <c r="E558" s="132">
        <v>100</v>
      </c>
      <c r="F558" s="132">
        <v>0</v>
      </c>
      <c r="G558" s="22"/>
      <c r="I558" s="132">
        <v>1.25</v>
      </c>
      <c r="J558" s="132" t="s">
        <v>25</v>
      </c>
      <c r="L558" s="132" t="s">
        <v>18</v>
      </c>
      <c r="M558" s="334" t="s">
        <v>128</v>
      </c>
      <c r="N558" s="132" t="s">
        <v>79</v>
      </c>
      <c r="O558" s="132">
        <v>30</v>
      </c>
      <c r="P558" s="132" t="s">
        <v>16</v>
      </c>
      <c r="Q558" s="334"/>
      <c r="T558" s="233">
        <v>70</v>
      </c>
      <c r="V558" s="229">
        <v>577</v>
      </c>
    </row>
    <row r="559" spans="1:22" s="132" customFormat="1" ht="15.75" customHeight="1">
      <c r="A559" s="270">
        <v>108</v>
      </c>
      <c r="B559" s="186">
        <v>5</v>
      </c>
      <c r="C559" s="132" t="s">
        <v>15</v>
      </c>
      <c r="D559" s="132" t="s">
        <v>17</v>
      </c>
      <c r="E559" s="132">
        <v>100</v>
      </c>
      <c r="F559" s="132">
        <v>0</v>
      </c>
      <c r="G559" s="22"/>
      <c r="I559" s="132">
        <v>1.25</v>
      </c>
      <c r="J559" s="132" t="s">
        <v>25</v>
      </c>
      <c r="L559" s="132" t="s">
        <v>18</v>
      </c>
      <c r="M559" s="334" t="s">
        <v>128</v>
      </c>
      <c r="N559" s="132" t="s">
        <v>79</v>
      </c>
      <c r="O559" s="132">
        <v>40</v>
      </c>
      <c r="P559" s="132" t="s">
        <v>16</v>
      </c>
      <c r="Q559" s="334"/>
      <c r="T559" s="233">
        <v>60</v>
      </c>
      <c r="V559" s="229">
        <v>578</v>
      </c>
    </row>
    <row r="560" spans="1:22" s="132" customFormat="1" ht="15.75" customHeight="1">
      <c r="A560" s="270">
        <v>108</v>
      </c>
      <c r="B560" s="186">
        <v>6</v>
      </c>
      <c r="C560" s="132" t="s">
        <v>15</v>
      </c>
      <c r="D560" s="132" t="s">
        <v>17</v>
      </c>
      <c r="E560" s="132">
        <v>100</v>
      </c>
      <c r="F560" s="132">
        <v>0</v>
      </c>
      <c r="G560" s="22"/>
      <c r="I560" s="132">
        <v>1.25</v>
      </c>
      <c r="J560" s="132" t="s">
        <v>25</v>
      </c>
      <c r="L560" s="132" t="s">
        <v>18</v>
      </c>
      <c r="M560" s="334" t="s">
        <v>128</v>
      </c>
      <c r="N560" s="132" t="s">
        <v>79</v>
      </c>
      <c r="O560" s="132">
        <v>50</v>
      </c>
      <c r="P560" s="132" t="s">
        <v>16</v>
      </c>
      <c r="Q560" s="334"/>
      <c r="T560" s="233">
        <v>50</v>
      </c>
      <c r="V560" s="229">
        <v>579</v>
      </c>
    </row>
    <row r="561" spans="1:22" s="132" customFormat="1" ht="15.75" customHeight="1">
      <c r="A561" s="268">
        <v>109</v>
      </c>
      <c r="B561" s="265">
        <v>1</v>
      </c>
      <c r="C561" s="254" t="s">
        <v>15</v>
      </c>
      <c r="D561" s="254" t="s">
        <v>17</v>
      </c>
      <c r="E561" s="254">
        <v>97</v>
      </c>
      <c r="F561" s="254">
        <v>3</v>
      </c>
      <c r="G561" s="42"/>
      <c r="H561" s="254"/>
      <c r="I561" s="254"/>
      <c r="J561" s="254"/>
      <c r="K561" s="254"/>
      <c r="L561" s="254" t="s">
        <v>16</v>
      </c>
      <c r="M561" s="355"/>
      <c r="N561" s="254"/>
      <c r="O561" s="254"/>
      <c r="P561" s="254" t="s">
        <v>16</v>
      </c>
      <c r="Q561" s="355"/>
      <c r="R561" s="254"/>
      <c r="S561" s="254"/>
      <c r="T561" s="255">
        <v>100</v>
      </c>
      <c r="V561" s="229">
        <v>580</v>
      </c>
    </row>
    <row r="562" spans="1:22" s="132" customFormat="1" ht="15.75" customHeight="1">
      <c r="A562" s="270">
        <v>109</v>
      </c>
      <c r="B562" s="186">
        <v>2</v>
      </c>
      <c r="C562" s="132" t="s">
        <v>15</v>
      </c>
      <c r="D562" s="132" t="s">
        <v>17</v>
      </c>
      <c r="E562" s="132">
        <v>97</v>
      </c>
      <c r="F562" s="132">
        <v>3</v>
      </c>
      <c r="G562" s="22"/>
      <c r="L562" s="132" t="s">
        <v>18</v>
      </c>
      <c r="M562" s="334" t="s">
        <v>689</v>
      </c>
      <c r="N562" s="132" t="s">
        <v>129</v>
      </c>
      <c r="O562" s="132">
        <v>23.08</v>
      </c>
      <c r="P562" s="132" t="s">
        <v>16</v>
      </c>
      <c r="Q562" s="334"/>
      <c r="T562" s="233">
        <f>100-23.08</f>
        <v>76.92</v>
      </c>
      <c r="V562" s="229">
        <v>581</v>
      </c>
    </row>
    <row r="563" spans="1:22" ht="15.75" customHeight="1">
      <c r="A563" s="270">
        <v>109</v>
      </c>
      <c r="B563" s="186">
        <v>3</v>
      </c>
      <c r="C563" s="132" t="s">
        <v>15</v>
      </c>
      <c r="D563" s="132" t="s">
        <v>17</v>
      </c>
      <c r="E563" s="132">
        <v>97</v>
      </c>
      <c r="F563" s="132">
        <v>3</v>
      </c>
      <c r="G563" s="22"/>
      <c r="H563" s="132"/>
      <c r="I563" s="132"/>
      <c r="J563" s="132"/>
      <c r="K563" s="132"/>
      <c r="L563" s="132" t="s">
        <v>18</v>
      </c>
      <c r="M563" s="334" t="s">
        <v>689</v>
      </c>
      <c r="N563" s="132" t="s">
        <v>129</v>
      </c>
      <c r="O563" s="132">
        <v>23.08</v>
      </c>
      <c r="P563" s="132" t="s">
        <v>18</v>
      </c>
      <c r="Q563" s="334" t="s">
        <v>688</v>
      </c>
      <c r="R563" s="132" t="s">
        <v>130</v>
      </c>
      <c r="S563" s="132">
        <v>1</v>
      </c>
      <c r="T563" s="233">
        <f>76.92-1</f>
        <v>75.92</v>
      </c>
      <c r="V563" s="229">
        <v>582</v>
      </c>
    </row>
    <row r="564" spans="1:22" ht="15.75" customHeight="1">
      <c r="A564" s="268">
        <v>110</v>
      </c>
      <c r="B564" s="265">
        <v>1</v>
      </c>
      <c r="C564" s="254" t="s">
        <v>15</v>
      </c>
      <c r="D564" s="254" t="s">
        <v>17</v>
      </c>
      <c r="E564" s="254">
        <v>100</v>
      </c>
      <c r="F564" s="254">
        <v>0</v>
      </c>
      <c r="G564" s="42">
        <v>290000</v>
      </c>
      <c r="H564" s="254"/>
      <c r="I564" s="254"/>
      <c r="J564" s="254"/>
      <c r="K564" s="254">
        <v>2.2999999999999998</v>
      </c>
      <c r="L564" s="254" t="s">
        <v>16</v>
      </c>
      <c r="M564" s="355"/>
      <c r="N564" s="254"/>
      <c r="O564" s="254"/>
      <c r="P564" s="254" t="s">
        <v>16</v>
      </c>
      <c r="Q564" s="355"/>
      <c r="R564" s="254"/>
      <c r="S564" s="254"/>
      <c r="T564" s="255">
        <v>100</v>
      </c>
      <c r="V564" s="229">
        <v>583</v>
      </c>
    </row>
    <row r="565" spans="1:22" ht="15.75" customHeight="1">
      <c r="A565" s="270">
        <v>110</v>
      </c>
      <c r="B565" s="186">
        <v>2</v>
      </c>
      <c r="C565" s="132" t="s">
        <v>15</v>
      </c>
      <c r="D565" s="132" t="s">
        <v>17</v>
      </c>
      <c r="E565" s="132">
        <v>100</v>
      </c>
      <c r="F565" s="132">
        <v>0</v>
      </c>
      <c r="G565" s="22">
        <v>290000</v>
      </c>
      <c r="H565" s="132"/>
      <c r="I565" s="132"/>
      <c r="J565" s="132"/>
      <c r="K565" s="132">
        <v>2.2999999999999998</v>
      </c>
      <c r="L565" s="132" t="s">
        <v>18</v>
      </c>
      <c r="M565" s="334" t="s">
        <v>688</v>
      </c>
      <c r="N565" s="132" t="s">
        <v>46</v>
      </c>
      <c r="O565" s="132">
        <v>0.25</v>
      </c>
      <c r="P565" s="132" t="s">
        <v>16</v>
      </c>
      <c r="R565" s="132"/>
      <c r="S565" s="132"/>
      <c r="T565" s="233">
        <v>99.75</v>
      </c>
      <c r="V565" s="229">
        <v>584</v>
      </c>
    </row>
    <row r="566" spans="1:22" ht="15.75" customHeight="1">
      <c r="A566" s="270">
        <v>110</v>
      </c>
      <c r="B566" s="186">
        <v>3</v>
      </c>
      <c r="C566" s="132" t="s">
        <v>15</v>
      </c>
      <c r="D566" s="132" t="s">
        <v>17</v>
      </c>
      <c r="E566" s="132">
        <v>100</v>
      </c>
      <c r="F566" s="132">
        <v>0</v>
      </c>
      <c r="G566" s="22">
        <v>290000</v>
      </c>
      <c r="H566" s="132"/>
      <c r="I566" s="132"/>
      <c r="J566" s="132"/>
      <c r="K566" s="132">
        <v>2.2999999999999998</v>
      </c>
      <c r="L566" s="132" t="s">
        <v>18</v>
      </c>
      <c r="M566" s="334" t="s">
        <v>688</v>
      </c>
      <c r="N566" s="132" t="s">
        <v>46</v>
      </c>
      <c r="O566" s="132">
        <v>0.5</v>
      </c>
      <c r="P566" s="132" t="s">
        <v>16</v>
      </c>
      <c r="R566" s="132"/>
      <c r="S566" s="132"/>
      <c r="T566" s="233">
        <v>99.5</v>
      </c>
      <c r="V566" s="229">
        <v>585</v>
      </c>
    </row>
    <row r="567" spans="1:22" ht="15.75" customHeight="1">
      <c r="A567" s="270">
        <v>110</v>
      </c>
      <c r="B567" s="186">
        <v>4</v>
      </c>
      <c r="C567" s="132" t="s">
        <v>15</v>
      </c>
      <c r="D567" s="132" t="s">
        <v>17</v>
      </c>
      <c r="E567" s="132">
        <v>100</v>
      </c>
      <c r="F567" s="132">
        <v>0</v>
      </c>
      <c r="G567" s="22">
        <v>290000</v>
      </c>
      <c r="H567" s="132"/>
      <c r="I567" s="132"/>
      <c r="J567" s="132"/>
      <c r="K567" s="132">
        <v>2.2999999999999998</v>
      </c>
      <c r="L567" s="132" t="s">
        <v>18</v>
      </c>
      <c r="M567" s="334" t="s">
        <v>688</v>
      </c>
      <c r="N567" s="132" t="s">
        <v>46</v>
      </c>
      <c r="O567" s="132">
        <v>1</v>
      </c>
      <c r="P567" s="132" t="s">
        <v>16</v>
      </c>
      <c r="R567" s="132"/>
      <c r="S567" s="132"/>
      <c r="T567" s="233">
        <v>99</v>
      </c>
      <c r="V567" s="229">
        <v>586</v>
      </c>
    </row>
    <row r="568" spans="1:22" ht="15.75" customHeight="1">
      <c r="A568" s="268">
        <v>111</v>
      </c>
      <c r="B568" s="265">
        <v>1</v>
      </c>
      <c r="C568" s="254" t="s">
        <v>15</v>
      </c>
      <c r="D568" s="254" t="s">
        <v>17</v>
      </c>
      <c r="E568" s="254">
        <v>98.5</v>
      </c>
      <c r="F568" s="254">
        <v>1.5</v>
      </c>
      <c r="G568" s="42">
        <v>400000</v>
      </c>
      <c r="H568" s="254"/>
      <c r="I568" s="254">
        <v>1.2</v>
      </c>
      <c r="J568" s="254" t="s">
        <v>25</v>
      </c>
      <c r="K568" s="254"/>
      <c r="L568" s="254" t="s">
        <v>16</v>
      </c>
      <c r="M568" s="355"/>
      <c r="N568" s="254"/>
      <c r="O568" s="254"/>
      <c r="P568" s="254" t="s">
        <v>16</v>
      </c>
      <c r="Q568" s="355"/>
      <c r="R568" s="254"/>
      <c r="S568" s="254"/>
      <c r="T568" s="255">
        <v>100</v>
      </c>
      <c r="V568" s="229">
        <v>587</v>
      </c>
    </row>
    <row r="569" spans="1:22" ht="15.75" customHeight="1">
      <c r="A569" s="270">
        <v>111</v>
      </c>
      <c r="B569" s="186">
        <v>2</v>
      </c>
      <c r="C569" s="132" t="s">
        <v>15</v>
      </c>
      <c r="D569" s="132" t="s">
        <v>17</v>
      </c>
      <c r="E569" s="132">
        <v>98.5</v>
      </c>
      <c r="F569" s="132">
        <v>1.5</v>
      </c>
      <c r="G569" s="22">
        <v>400000</v>
      </c>
      <c r="H569" s="132"/>
      <c r="I569" s="132">
        <v>1.2</v>
      </c>
      <c r="J569" s="132" t="s">
        <v>25</v>
      </c>
      <c r="K569" s="132"/>
      <c r="L569" s="132" t="s">
        <v>16</v>
      </c>
      <c r="N569" s="132"/>
      <c r="O569" s="132"/>
      <c r="P569" s="132" t="s">
        <v>18</v>
      </c>
      <c r="Q569" s="334" t="s">
        <v>688</v>
      </c>
      <c r="R569" s="132" t="s">
        <v>131</v>
      </c>
      <c r="S569" s="132">
        <v>3</v>
      </c>
      <c r="T569" s="233">
        <v>97</v>
      </c>
      <c r="V569" s="229">
        <v>588</v>
      </c>
    </row>
    <row r="570" spans="1:22" ht="15.75" customHeight="1">
      <c r="A570" s="270">
        <v>111</v>
      </c>
      <c r="B570" s="186">
        <v>3</v>
      </c>
      <c r="C570" s="132" t="s">
        <v>15</v>
      </c>
      <c r="D570" s="132" t="s">
        <v>17</v>
      </c>
      <c r="E570" s="132">
        <v>98.5</v>
      </c>
      <c r="F570" s="132">
        <v>1.5</v>
      </c>
      <c r="G570" s="22">
        <v>400000</v>
      </c>
      <c r="H570" s="132"/>
      <c r="I570" s="132">
        <v>1.2</v>
      </c>
      <c r="J570" s="132" t="s">
        <v>25</v>
      </c>
      <c r="K570" s="132"/>
      <c r="L570" s="132" t="s">
        <v>18</v>
      </c>
      <c r="M570" s="334" t="s">
        <v>688</v>
      </c>
      <c r="N570" s="132" t="s">
        <v>132</v>
      </c>
      <c r="O570" s="132">
        <v>1</v>
      </c>
      <c r="P570" s="132" t="s">
        <v>18</v>
      </c>
      <c r="Q570" s="334" t="s">
        <v>688</v>
      </c>
      <c r="R570" s="132" t="s">
        <v>131</v>
      </c>
      <c r="S570" s="132">
        <v>2</v>
      </c>
      <c r="T570" s="233">
        <v>97</v>
      </c>
      <c r="V570" s="229">
        <v>589</v>
      </c>
    </row>
    <row r="571" spans="1:22" ht="15.75" customHeight="1">
      <c r="A571" s="270">
        <v>111</v>
      </c>
      <c r="B571" s="186">
        <v>4</v>
      </c>
      <c r="C571" s="132" t="s">
        <v>15</v>
      </c>
      <c r="D571" s="132" t="s">
        <v>17</v>
      </c>
      <c r="E571" s="132">
        <v>98.5</v>
      </c>
      <c r="F571" s="132">
        <v>1.5</v>
      </c>
      <c r="G571" s="22">
        <v>400000</v>
      </c>
      <c r="H571" s="132"/>
      <c r="I571" s="132">
        <v>1.2</v>
      </c>
      <c r="J571" s="132" t="s">
        <v>25</v>
      </c>
      <c r="K571" s="132"/>
      <c r="L571" s="132" t="s">
        <v>18</v>
      </c>
      <c r="M571" s="334" t="s">
        <v>688</v>
      </c>
      <c r="N571" s="132" t="s">
        <v>132</v>
      </c>
      <c r="O571" s="132">
        <v>1.5</v>
      </c>
      <c r="P571" s="132" t="s">
        <v>18</v>
      </c>
      <c r="Q571" s="334" t="s">
        <v>688</v>
      </c>
      <c r="R571" s="132" t="s">
        <v>131</v>
      </c>
      <c r="S571" s="132">
        <v>1.5</v>
      </c>
      <c r="T571" s="233">
        <v>97</v>
      </c>
      <c r="V571" s="229">
        <v>590</v>
      </c>
    </row>
    <row r="572" spans="1:22" ht="15.75" customHeight="1">
      <c r="A572" s="270">
        <v>111</v>
      </c>
      <c r="B572" s="186">
        <v>5</v>
      </c>
      <c r="C572" s="132" t="s">
        <v>15</v>
      </c>
      <c r="D572" s="132" t="s">
        <v>17</v>
      </c>
      <c r="E572" s="132">
        <v>98.5</v>
      </c>
      <c r="F572" s="132">
        <v>1.5</v>
      </c>
      <c r="G572" s="22">
        <v>400000</v>
      </c>
      <c r="H572" s="132"/>
      <c r="I572" s="132">
        <v>1.2</v>
      </c>
      <c r="J572" s="132" t="s">
        <v>25</v>
      </c>
      <c r="K572" s="132"/>
      <c r="L572" s="132" t="s">
        <v>18</v>
      </c>
      <c r="M572" s="334" t="s">
        <v>688</v>
      </c>
      <c r="N572" s="132" t="s">
        <v>132</v>
      </c>
      <c r="O572" s="132">
        <v>2</v>
      </c>
      <c r="P572" s="132" t="s">
        <v>18</v>
      </c>
      <c r="Q572" s="334" t="s">
        <v>688</v>
      </c>
      <c r="R572" s="132" t="s">
        <v>131</v>
      </c>
      <c r="S572" s="132">
        <v>1</v>
      </c>
      <c r="T572" s="233">
        <v>97</v>
      </c>
      <c r="V572" s="229">
        <v>591</v>
      </c>
    </row>
    <row r="573" spans="1:22" ht="15.75" customHeight="1">
      <c r="A573" s="270">
        <v>111</v>
      </c>
      <c r="B573" s="186">
        <v>6</v>
      </c>
      <c r="C573" s="132" t="s">
        <v>15</v>
      </c>
      <c r="D573" s="132" t="s">
        <v>17</v>
      </c>
      <c r="E573" s="132">
        <v>98.5</v>
      </c>
      <c r="F573" s="132">
        <v>1.5</v>
      </c>
      <c r="G573" s="22">
        <v>400000</v>
      </c>
      <c r="H573" s="132"/>
      <c r="I573" s="132">
        <v>1.2</v>
      </c>
      <c r="J573" s="200" t="s">
        <v>25</v>
      </c>
      <c r="K573" s="132"/>
      <c r="L573" s="132" t="s">
        <v>18</v>
      </c>
      <c r="M573" s="334" t="s">
        <v>688</v>
      </c>
      <c r="N573" s="132" t="s">
        <v>132</v>
      </c>
      <c r="O573" s="132">
        <v>3</v>
      </c>
      <c r="P573" s="132" t="s">
        <v>16</v>
      </c>
      <c r="R573" s="132"/>
      <c r="S573" s="132"/>
      <c r="T573" s="233">
        <v>97</v>
      </c>
      <c r="V573" s="229">
        <v>592</v>
      </c>
    </row>
    <row r="574" spans="1:22" ht="15.75" customHeight="1">
      <c r="A574" s="268">
        <v>112</v>
      </c>
      <c r="B574" s="265">
        <v>1</v>
      </c>
      <c r="C574" s="254" t="s">
        <v>15</v>
      </c>
      <c r="D574" s="254" t="s">
        <v>17</v>
      </c>
      <c r="E574" s="254">
        <v>100</v>
      </c>
      <c r="F574" s="254">
        <v>0</v>
      </c>
      <c r="G574" s="30"/>
      <c r="H574" s="257"/>
      <c r="I574" s="257"/>
      <c r="K574" s="257"/>
      <c r="L574" s="254" t="s">
        <v>16</v>
      </c>
      <c r="M574" s="355"/>
      <c r="N574" s="257"/>
      <c r="O574" s="257"/>
      <c r="P574" s="254" t="s">
        <v>16</v>
      </c>
      <c r="Q574" s="355"/>
      <c r="R574" s="257"/>
      <c r="S574" s="257"/>
      <c r="T574" s="255">
        <v>100</v>
      </c>
      <c r="V574" s="229">
        <v>593</v>
      </c>
    </row>
    <row r="575" spans="1:22" ht="15.75" customHeight="1">
      <c r="A575" s="270">
        <v>112</v>
      </c>
      <c r="B575" s="186">
        <v>2</v>
      </c>
      <c r="C575" s="132" t="s">
        <v>15</v>
      </c>
      <c r="D575" s="132" t="s">
        <v>17</v>
      </c>
      <c r="E575" s="132">
        <v>100</v>
      </c>
      <c r="F575" s="132">
        <v>0</v>
      </c>
      <c r="G575" s="23"/>
      <c r="L575" s="132" t="s">
        <v>18</v>
      </c>
      <c r="M575" s="334" t="s">
        <v>688</v>
      </c>
      <c r="N575" s="132" t="s">
        <v>133</v>
      </c>
      <c r="O575" s="132">
        <v>1</v>
      </c>
      <c r="P575" s="132" t="s">
        <v>16</v>
      </c>
      <c r="T575" s="233">
        <v>99</v>
      </c>
      <c r="V575" s="229">
        <v>594</v>
      </c>
    </row>
    <row r="576" spans="1:22" ht="15.75" customHeight="1">
      <c r="A576" s="270">
        <v>112</v>
      </c>
      <c r="B576" s="186">
        <v>3</v>
      </c>
      <c r="C576" s="132" t="s">
        <v>15</v>
      </c>
      <c r="D576" s="132" t="s">
        <v>17</v>
      </c>
      <c r="E576" s="132">
        <v>100</v>
      </c>
      <c r="F576" s="132">
        <v>0</v>
      </c>
      <c r="G576" s="23"/>
      <c r="L576" s="132" t="s">
        <v>18</v>
      </c>
      <c r="M576" s="334" t="s">
        <v>688</v>
      </c>
      <c r="N576" s="132" t="s">
        <v>133</v>
      </c>
      <c r="O576" s="132">
        <v>5</v>
      </c>
      <c r="P576" s="132" t="s">
        <v>16</v>
      </c>
      <c r="T576" s="233">
        <v>95</v>
      </c>
      <c r="V576" s="229">
        <v>595</v>
      </c>
    </row>
    <row r="577" spans="1:22" ht="15.75" customHeight="1">
      <c r="A577" s="270">
        <v>112</v>
      </c>
      <c r="B577" s="186">
        <v>4</v>
      </c>
      <c r="C577" s="132" t="s">
        <v>15</v>
      </c>
      <c r="D577" s="132" t="s">
        <v>17</v>
      </c>
      <c r="E577" s="132">
        <v>100</v>
      </c>
      <c r="F577" s="132">
        <v>0</v>
      </c>
      <c r="G577" s="23"/>
      <c r="L577" s="132" t="s">
        <v>18</v>
      </c>
      <c r="M577" s="334" t="s">
        <v>688</v>
      </c>
      <c r="N577" s="132" t="s">
        <v>133</v>
      </c>
      <c r="O577" s="132">
        <v>15</v>
      </c>
      <c r="P577" s="132" t="s">
        <v>16</v>
      </c>
      <c r="T577" s="233">
        <v>85</v>
      </c>
      <c r="V577" s="229">
        <v>596</v>
      </c>
    </row>
    <row r="578" spans="1:22" ht="15.75" customHeight="1">
      <c r="A578" s="270">
        <v>112</v>
      </c>
      <c r="B578" s="186">
        <v>5</v>
      </c>
      <c r="C578" s="132" t="s">
        <v>15</v>
      </c>
      <c r="D578" s="132" t="s">
        <v>17</v>
      </c>
      <c r="E578" s="132">
        <v>100</v>
      </c>
      <c r="F578" s="132">
        <v>0</v>
      </c>
      <c r="G578" s="23"/>
      <c r="L578" s="132" t="s">
        <v>18</v>
      </c>
      <c r="M578" s="334" t="s">
        <v>688</v>
      </c>
      <c r="N578" s="132" t="s">
        <v>133</v>
      </c>
      <c r="O578" s="132">
        <v>30</v>
      </c>
      <c r="P578" s="132" t="s">
        <v>16</v>
      </c>
      <c r="T578" s="233">
        <v>70</v>
      </c>
      <c r="V578" s="229">
        <v>597</v>
      </c>
    </row>
    <row r="579" spans="1:22" ht="15.75" customHeight="1">
      <c r="A579" s="268">
        <v>113</v>
      </c>
      <c r="B579" s="265">
        <v>1</v>
      </c>
      <c r="C579" s="254" t="s">
        <v>15</v>
      </c>
      <c r="D579" s="254" t="s">
        <v>17</v>
      </c>
      <c r="E579" s="254">
        <v>100</v>
      </c>
      <c r="F579" s="254">
        <v>0</v>
      </c>
      <c r="G579" s="42">
        <v>150000</v>
      </c>
      <c r="H579" s="254"/>
      <c r="I579" s="254"/>
      <c r="J579" s="254"/>
      <c r="K579" s="254"/>
      <c r="L579" s="254" t="s">
        <v>16</v>
      </c>
      <c r="M579" s="355"/>
      <c r="N579" s="254"/>
      <c r="O579" s="254"/>
      <c r="P579" s="254" t="s">
        <v>16</v>
      </c>
      <c r="Q579" s="355"/>
      <c r="R579" s="254"/>
      <c r="S579" s="254"/>
      <c r="T579" s="255">
        <v>100</v>
      </c>
      <c r="V579" s="229">
        <v>598</v>
      </c>
    </row>
    <row r="580" spans="1:22" ht="15.75" customHeight="1">
      <c r="A580" s="270">
        <v>113</v>
      </c>
      <c r="B580" s="186">
        <v>2</v>
      </c>
      <c r="C580" s="132" t="s">
        <v>15</v>
      </c>
      <c r="D580" s="132" t="s">
        <v>17</v>
      </c>
      <c r="E580" s="132">
        <v>100</v>
      </c>
      <c r="F580" s="132">
        <v>0</v>
      </c>
      <c r="G580" s="22">
        <v>150000</v>
      </c>
      <c r="H580" s="132"/>
      <c r="I580" s="132"/>
      <c r="J580" s="132"/>
      <c r="K580" s="132"/>
      <c r="L580" s="132" t="s">
        <v>18</v>
      </c>
      <c r="M580" s="334" t="s">
        <v>689</v>
      </c>
      <c r="N580" s="132" t="s">
        <v>134</v>
      </c>
      <c r="O580" s="132">
        <v>20</v>
      </c>
      <c r="P580" s="132" t="s">
        <v>16</v>
      </c>
      <c r="R580" s="132"/>
      <c r="S580" s="132"/>
      <c r="T580" s="233">
        <v>80</v>
      </c>
      <c r="V580" s="229">
        <v>599</v>
      </c>
    </row>
    <row r="581" spans="1:22" ht="15.75" customHeight="1">
      <c r="A581" s="270">
        <v>113</v>
      </c>
      <c r="B581" s="186">
        <v>3</v>
      </c>
      <c r="C581" s="132" t="s">
        <v>15</v>
      </c>
      <c r="D581" s="132" t="s">
        <v>17</v>
      </c>
      <c r="E581" s="132">
        <v>100</v>
      </c>
      <c r="F581" s="132">
        <v>0</v>
      </c>
      <c r="G581" s="22">
        <v>150000</v>
      </c>
      <c r="H581" s="132"/>
      <c r="I581" s="132"/>
      <c r="J581" s="132"/>
      <c r="K581" s="132"/>
      <c r="L581" s="132" t="s">
        <v>18</v>
      </c>
      <c r="M581" s="334" t="s">
        <v>689</v>
      </c>
      <c r="N581" s="132" t="s">
        <v>134</v>
      </c>
      <c r="O581" s="132">
        <v>40</v>
      </c>
      <c r="P581" s="132" t="s">
        <v>16</v>
      </c>
      <c r="R581" s="132"/>
      <c r="S581" s="132"/>
      <c r="T581" s="233">
        <v>60</v>
      </c>
      <c r="V581" s="229">
        <v>600</v>
      </c>
    </row>
    <row r="582" spans="1:22" ht="15.75" customHeight="1">
      <c r="A582" s="268">
        <v>114</v>
      </c>
      <c r="B582" s="186">
        <v>1</v>
      </c>
      <c r="C582" s="254" t="s">
        <v>15</v>
      </c>
      <c r="D582" s="254" t="s">
        <v>17</v>
      </c>
      <c r="E582" s="254">
        <v>100</v>
      </c>
      <c r="F582" s="254">
        <v>0</v>
      </c>
      <c r="G582" s="42">
        <v>370000</v>
      </c>
      <c r="H582" s="254"/>
      <c r="I582" s="254"/>
      <c r="J582" s="254"/>
      <c r="K582" s="254">
        <v>1.67</v>
      </c>
      <c r="L582" s="254" t="s">
        <v>16</v>
      </c>
      <c r="M582" s="355"/>
      <c r="N582" s="254"/>
      <c r="O582" s="254"/>
      <c r="P582" s="254" t="s">
        <v>16</v>
      </c>
      <c r="Q582" s="355"/>
      <c r="R582" s="254"/>
      <c r="S582" s="254"/>
      <c r="T582" s="255">
        <v>100</v>
      </c>
      <c r="V582" s="229">
        <v>602</v>
      </c>
    </row>
    <row r="583" spans="1:22" ht="15.75" customHeight="1">
      <c r="A583" s="270">
        <v>114</v>
      </c>
      <c r="B583" s="186">
        <v>2</v>
      </c>
      <c r="C583" s="132" t="s">
        <v>15</v>
      </c>
      <c r="D583" s="132" t="s">
        <v>17</v>
      </c>
      <c r="E583" s="132">
        <v>100</v>
      </c>
      <c r="F583" s="132">
        <v>0</v>
      </c>
      <c r="G583" s="22">
        <v>370000</v>
      </c>
      <c r="H583" s="132"/>
      <c r="I583" s="132"/>
      <c r="J583" s="132"/>
      <c r="K583" s="132">
        <v>1.67</v>
      </c>
      <c r="L583" s="132" t="s">
        <v>18</v>
      </c>
      <c r="M583" s="334" t="s">
        <v>128</v>
      </c>
      <c r="N583" s="132" t="s">
        <v>135</v>
      </c>
      <c r="O583" s="132">
        <v>5</v>
      </c>
      <c r="P583" s="132" t="s">
        <v>16</v>
      </c>
      <c r="R583" s="132"/>
      <c r="S583" s="132"/>
      <c r="T583" s="233">
        <v>95</v>
      </c>
      <c r="V583" s="229">
        <v>603</v>
      </c>
    </row>
    <row r="584" spans="1:22" ht="15.75" customHeight="1">
      <c r="A584" s="270">
        <v>114</v>
      </c>
      <c r="B584" s="186">
        <v>3</v>
      </c>
      <c r="C584" s="132" t="s">
        <v>15</v>
      </c>
      <c r="D584" s="132" t="s">
        <v>17</v>
      </c>
      <c r="E584" s="132">
        <v>100</v>
      </c>
      <c r="F584" s="132">
        <v>0</v>
      </c>
      <c r="G584" s="22">
        <v>370000</v>
      </c>
      <c r="H584" s="132"/>
      <c r="I584" s="132"/>
      <c r="J584" s="132"/>
      <c r="K584" s="132">
        <v>1.67</v>
      </c>
      <c r="L584" s="132" t="s">
        <v>18</v>
      </c>
      <c r="M584" s="334" t="s">
        <v>128</v>
      </c>
      <c r="N584" s="132" t="s">
        <v>135</v>
      </c>
      <c r="O584" s="132">
        <v>17</v>
      </c>
      <c r="P584" s="132" t="s">
        <v>16</v>
      </c>
      <c r="R584" s="132"/>
      <c r="S584" s="132"/>
      <c r="T584" s="233">
        <v>83</v>
      </c>
      <c r="V584" s="229">
        <v>604</v>
      </c>
    </row>
    <row r="585" spans="1:22" ht="15.75" customHeight="1">
      <c r="A585" s="270">
        <v>114</v>
      </c>
      <c r="B585" s="186">
        <v>4</v>
      </c>
      <c r="C585" s="132" t="s">
        <v>15</v>
      </c>
      <c r="D585" s="132" t="s">
        <v>17</v>
      </c>
      <c r="E585" s="132">
        <v>100</v>
      </c>
      <c r="F585" s="132">
        <v>0</v>
      </c>
      <c r="G585" s="22">
        <v>370000</v>
      </c>
      <c r="H585" s="132"/>
      <c r="I585" s="132"/>
      <c r="J585" s="132"/>
      <c r="K585" s="132">
        <v>1.67</v>
      </c>
      <c r="L585" s="132" t="s">
        <v>18</v>
      </c>
      <c r="M585" s="334" t="s">
        <v>128</v>
      </c>
      <c r="N585" s="132" t="s">
        <v>136</v>
      </c>
      <c r="O585" s="132">
        <v>5</v>
      </c>
      <c r="P585" s="132" t="s">
        <v>16</v>
      </c>
      <c r="R585" s="132"/>
      <c r="S585" s="132"/>
      <c r="T585" s="233">
        <v>95</v>
      </c>
      <c r="V585" s="229">
        <v>605</v>
      </c>
    </row>
    <row r="586" spans="1:22" ht="15.75" customHeight="1">
      <c r="A586" s="270">
        <v>114</v>
      </c>
      <c r="B586" s="186">
        <v>5</v>
      </c>
      <c r="C586" s="132" t="s">
        <v>15</v>
      </c>
      <c r="D586" s="132" t="s">
        <v>17</v>
      </c>
      <c r="E586" s="132">
        <v>100</v>
      </c>
      <c r="F586" s="132">
        <v>0</v>
      </c>
      <c r="G586" s="22">
        <v>370000</v>
      </c>
      <c r="H586" s="132"/>
      <c r="I586" s="132"/>
      <c r="J586" s="132"/>
      <c r="K586" s="132">
        <v>1.67</v>
      </c>
      <c r="L586" s="132" t="s">
        <v>18</v>
      </c>
      <c r="M586" s="334" t="s">
        <v>128</v>
      </c>
      <c r="N586" s="132" t="s">
        <v>136</v>
      </c>
      <c r="O586" s="132">
        <v>17</v>
      </c>
      <c r="P586" s="132" t="s">
        <v>16</v>
      </c>
      <c r="R586" s="132"/>
      <c r="S586" s="132"/>
      <c r="T586" s="233">
        <v>83</v>
      </c>
      <c r="V586" s="229">
        <v>606</v>
      </c>
    </row>
    <row r="587" spans="1:22" s="132" customFormat="1" ht="15.75" customHeight="1">
      <c r="A587" s="268">
        <v>115</v>
      </c>
      <c r="B587" s="265">
        <v>1</v>
      </c>
      <c r="C587" s="254" t="s">
        <v>15</v>
      </c>
      <c r="D587" s="254" t="s">
        <v>17</v>
      </c>
      <c r="E587" s="254">
        <v>100</v>
      </c>
      <c r="F587" s="254">
        <v>0</v>
      </c>
      <c r="G587" s="42"/>
      <c r="H587" s="254"/>
      <c r="I587" s="254">
        <v>1.25</v>
      </c>
      <c r="J587" s="254" t="s">
        <v>25</v>
      </c>
      <c r="K587" s="254"/>
      <c r="L587" s="254" t="s">
        <v>16</v>
      </c>
      <c r="M587" s="355"/>
      <c r="N587" s="254"/>
      <c r="O587" s="254"/>
      <c r="P587" s="254" t="s">
        <v>16</v>
      </c>
      <c r="Q587" s="355"/>
      <c r="R587" s="254"/>
      <c r="S587" s="254"/>
      <c r="T587" s="255">
        <v>100</v>
      </c>
      <c r="V587" s="229">
        <v>607</v>
      </c>
    </row>
    <row r="588" spans="1:22" s="132" customFormat="1" ht="15.75" customHeight="1">
      <c r="A588" s="270">
        <v>115</v>
      </c>
      <c r="B588" s="186">
        <v>2</v>
      </c>
      <c r="C588" s="132" t="s">
        <v>15</v>
      </c>
      <c r="D588" s="132" t="s">
        <v>17</v>
      </c>
      <c r="E588" s="132">
        <v>100</v>
      </c>
      <c r="F588" s="132">
        <v>0</v>
      </c>
      <c r="G588" s="22"/>
      <c r="I588" s="132">
        <v>1.25</v>
      </c>
      <c r="J588" s="132" t="s">
        <v>25</v>
      </c>
      <c r="L588" s="132" t="s">
        <v>18</v>
      </c>
      <c r="M588" s="334" t="s">
        <v>688</v>
      </c>
      <c r="N588" s="132" t="s">
        <v>137</v>
      </c>
      <c r="O588" s="132">
        <v>2.91</v>
      </c>
      <c r="P588" s="132" t="s">
        <v>16</v>
      </c>
      <c r="Q588" s="334"/>
      <c r="T588" s="233">
        <v>97.09</v>
      </c>
      <c r="V588" s="229">
        <v>608</v>
      </c>
    </row>
    <row r="589" spans="1:22" s="132" customFormat="1" ht="15.75" customHeight="1">
      <c r="A589" s="270">
        <v>115</v>
      </c>
      <c r="B589" s="186">
        <v>3</v>
      </c>
      <c r="C589" s="132" t="s">
        <v>15</v>
      </c>
      <c r="D589" s="132" t="s">
        <v>17</v>
      </c>
      <c r="E589" s="132">
        <v>100</v>
      </c>
      <c r="F589" s="132">
        <v>0</v>
      </c>
      <c r="G589" s="22"/>
      <c r="I589" s="132">
        <v>1.25</v>
      </c>
      <c r="J589" s="132" t="s">
        <v>25</v>
      </c>
      <c r="L589" s="132" t="s">
        <v>18</v>
      </c>
      <c r="M589" s="334" t="s">
        <v>688</v>
      </c>
      <c r="N589" s="132" t="s">
        <v>137</v>
      </c>
      <c r="O589" s="132">
        <v>5.66</v>
      </c>
      <c r="P589" s="132" t="s">
        <v>16</v>
      </c>
      <c r="Q589" s="334"/>
      <c r="T589" s="233">
        <v>94.34</v>
      </c>
      <c r="V589" s="229">
        <v>609</v>
      </c>
    </row>
    <row r="590" spans="1:22" s="132" customFormat="1" ht="15.75" customHeight="1">
      <c r="A590" s="270">
        <v>115</v>
      </c>
      <c r="B590" s="186">
        <v>4</v>
      </c>
      <c r="C590" s="132" t="s">
        <v>15</v>
      </c>
      <c r="D590" s="132" t="s">
        <v>17</v>
      </c>
      <c r="E590" s="132">
        <v>100</v>
      </c>
      <c r="F590" s="132">
        <v>0</v>
      </c>
      <c r="G590" s="22"/>
      <c r="I590" s="132">
        <v>1.25</v>
      </c>
      <c r="J590" s="132" t="s">
        <v>25</v>
      </c>
      <c r="L590" s="132" t="s">
        <v>18</v>
      </c>
      <c r="M590" s="334" t="s">
        <v>688</v>
      </c>
      <c r="N590" s="132" t="s">
        <v>137</v>
      </c>
      <c r="O590" s="132">
        <v>8.26</v>
      </c>
      <c r="P590" s="132" t="s">
        <v>16</v>
      </c>
      <c r="Q590" s="334"/>
      <c r="T590" s="233">
        <v>91.74</v>
      </c>
      <c r="V590" s="229">
        <v>610</v>
      </c>
    </row>
    <row r="591" spans="1:22" s="132" customFormat="1" ht="15.75" customHeight="1">
      <c r="A591" s="270">
        <v>115</v>
      </c>
      <c r="B591" s="186">
        <v>5</v>
      </c>
      <c r="C591" s="132" t="s">
        <v>15</v>
      </c>
      <c r="D591" s="132" t="s">
        <v>17</v>
      </c>
      <c r="E591" s="132">
        <v>100</v>
      </c>
      <c r="F591" s="132">
        <v>0</v>
      </c>
      <c r="G591" s="22"/>
      <c r="I591" s="132">
        <v>1.25</v>
      </c>
      <c r="J591" s="132" t="s">
        <v>25</v>
      </c>
      <c r="L591" s="132" t="s">
        <v>18</v>
      </c>
      <c r="M591" s="334" t="s">
        <v>688</v>
      </c>
      <c r="N591" s="132" t="s">
        <v>138</v>
      </c>
      <c r="O591" s="132">
        <v>2.91</v>
      </c>
      <c r="P591" s="132" t="s">
        <v>16</v>
      </c>
      <c r="Q591" s="334"/>
      <c r="T591" s="233">
        <v>97.09</v>
      </c>
      <c r="V591" s="229">
        <v>611</v>
      </c>
    </row>
    <row r="592" spans="1:22" s="132" customFormat="1" ht="15.75" customHeight="1">
      <c r="A592" s="270">
        <v>115</v>
      </c>
      <c r="B592" s="186">
        <v>6</v>
      </c>
      <c r="C592" s="132" t="s">
        <v>15</v>
      </c>
      <c r="D592" s="132" t="s">
        <v>17</v>
      </c>
      <c r="E592" s="132">
        <v>100</v>
      </c>
      <c r="F592" s="132">
        <v>0</v>
      </c>
      <c r="G592" s="22"/>
      <c r="I592" s="132">
        <v>1.25</v>
      </c>
      <c r="J592" s="132" t="s">
        <v>25</v>
      </c>
      <c r="L592" s="132" t="s">
        <v>18</v>
      </c>
      <c r="M592" s="334" t="s">
        <v>688</v>
      </c>
      <c r="N592" s="132" t="s">
        <v>138</v>
      </c>
      <c r="O592" s="132">
        <v>5.66</v>
      </c>
      <c r="P592" s="132" t="s">
        <v>16</v>
      </c>
      <c r="Q592" s="334"/>
      <c r="T592" s="233">
        <v>94.34</v>
      </c>
      <c r="V592" s="229">
        <v>612</v>
      </c>
    </row>
    <row r="593" spans="1:22" s="132" customFormat="1" ht="15.75" customHeight="1">
      <c r="A593" s="270">
        <v>115</v>
      </c>
      <c r="B593" s="186">
        <v>7</v>
      </c>
      <c r="C593" s="132" t="s">
        <v>15</v>
      </c>
      <c r="D593" s="132" t="s">
        <v>17</v>
      </c>
      <c r="E593" s="132">
        <v>100</v>
      </c>
      <c r="F593" s="132">
        <v>0</v>
      </c>
      <c r="G593" s="22"/>
      <c r="I593" s="132">
        <v>1.25</v>
      </c>
      <c r="J593" s="132" t="s">
        <v>25</v>
      </c>
      <c r="L593" s="132" t="s">
        <v>18</v>
      </c>
      <c r="M593" s="334" t="s">
        <v>688</v>
      </c>
      <c r="N593" s="132" t="s">
        <v>138</v>
      </c>
      <c r="O593" s="132">
        <v>8.26</v>
      </c>
      <c r="P593" s="132" t="s">
        <v>16</v>
      </c>
      <c r="Q593" s="334"/>
      <c r="T593" s="233">
        <v>91.74</v>
      </c>
      <c r="V593" s="229">
        <v>613</v>
      </c>
    </row>
    <row r="594" spans="1:22" s="132" customFormat="1" ht="15.75" customHeight="1">
      <c r="A594" s="268">
        <v>116</v>
      </c>
      <c r="B594" s="265">
        <v>1</v>
      </c>
      <c r="C594" s="254" t="s">
        <v>15</v>
      </c>
      <c r="D594" s="254" t="s">
        <v>17</v>
      </c>
      <c r="E594" s="254">
        <v>100</v>
      </c>
      <c r="F594" s="254">
        <v>0</v>
      </c>
      <c r="G594" s="42">
        <v>500000</v>
      </c>
      <c r="H594" s="254"/>
      <c r="I594" s="254"/>
      <c r="J594" s="254"/>
      <c r="K594" s="254"/>
      <c r="L594" s="254" t="s">
        <v>16</v>
      </c>
      <c r="M594" s="355"/>
      <c r="N594" s="254"/>
      <c r="O594" s="254"/>
      <c r="P594" s="254" t="s">
        <v>16</v>
      </c>
      <c r="Q594" s="355"/>
      <c r="R594" s="254"/>
      <c r="S594" s="254"/>
      <c r="T594" s="255">
        <v>100</v>
      </c>
      <c r="V594" s="229">
        <v>614</v>
      </c>
    </row>
    <row r="595" spans="1:22" s="132" customFormat="1" ht="15.75" customHeight="1">
      <c r="A595" s="270">
        <v>116</v>
      </c>
      <c r="B595" s="186">
        <v>2</v>
      </c>
      <c r="C595" s="132" t="s">
        <v>15</v>
      </c>
      <c r="D595" s="132" t="s">
        <v>17</v>
      </c>
      <c r="E595" s="132">
        <v>100</v>
      </c>
      <c r="F595" s="132">
        <v>0</v>
      </c>
      <c r="G595" s="22">
        <v>500000</v>
      </c>
      <c r="L595" s="132" t="s">
        <v>18</v>
      </c>
      <c r="M595" s="334" t="s">
        <v>128</v>
      </c>
      <c r="N595" s="132" t="s">
        <v>139</v>
      </c>
      <c r="O595" s="132">
        <v>0.5</v>
      </c>
      <c r="P595" s="132" t="s">
        <v>16</v>
      </c>
      <c r="Q595" s="334"/>
      <c r="T595" s="233">
        <v>99.5</v>
      </c>
      <c r="V595" s="229">
        <v>615</v>
      </c>
    </row>
    <row r="596" spans="1:22" s="132" customFormat="1" ht="15.75" customHeight="1">
      <c r="A596" s="270">
        <v>116</v>
      </c>
      <c r="B596" s="186">
        <v>3</v>
      </c>
      <c r="C596" s="132" t="s">
        <v>15</v>
      </c>
      <c r="D596" s="132" t="s">
        <v>17</v>
      </c>
      <c r="E596" s="132">
        <v>100</v>
      </c>
      <c r="F596" s="132">
        <v>0</v>
      </c>
      <c r="G596" s="22">
        <v>500000</v>
      </c>
      <c r="L596" s="132" t="s">
        <v>18</v>
      </c>
      <c r="M596" s="334" t="s">
        <v>128</v>
      </c>
      <c r="N596" s="132" t="s">
        <v>140</v>
      </c>
      <c r="O596" s="132">
        <v>2</v>
      </c>
      <c r="P596" s="132" t="s">
        <v>16</v>
      </c>
      <c r="Q596" s="334"/>
      <c r="T596" s="233">
        <v>98</v>
      </c>
      <c r="V596" s="229">
        <v>616</v>
      </c>
    </row>
    <row r="597" spans="1:22" ht="15.75" customHeight="1">
      <c r="A597" s="268">
        <v>117</v>
      </c>
      <c r="B597" s="265">
        <v>1</v>
      </c>
      <c r="C597" s="254" t="s">
        <v>15</v>
      </c>
      <c r="D597" s="254" t="s">
        <v>17</v>
      </c>
      <c r="E597" s="254">
        <v>100</v>
      </c>
      <c r="F597" s="254">
        <v>0</v>
      </c>
      <c r="G597" s="42">
        <v>293500</v>
      </c>
      <c r="H597" s="254"/>
      <c r="I597" s="254">
        <v>1.25</v>
      </c>
      <c r="J597" s="254" t="s">
        <v>25</v>
      </c>
      <c r="K597" s="254"/>
      <c r="L597" s="254" t="s">
        <v>16</v>
      </c>
      <c r="M597" s="355"/>
      <c r="N597" s="254"/>
      <c r="O597" s="254"/>
      <c r="P597" s="254" t="s">
        <v>16</v>
      </c>
      <c r="Q597" s="355"/>
      <c r="R597" s="254"/>
      <c r="S597" s="254"/>
      <c r="T597" s="255">
        <v>100</v>
      </c>
      <c r="V597" s="229">
        <v>617</v>
      </c>
    </row>
    <row r="598" spans="1:22" ht="15.75" customHeight="1">
      <c r="A598" s="268">
        <v>118</v>
      </c>
      <c r="B598" s="265">
        <v>1</v>
      </c>
      <c r="C598" s="254" t="s">
        <v>15</v>
      </c>
      <c r="D598" s="254" t="s">
        <v>17</v>
      </c>
      <c r="E598" s="254">
        <v>100</v>
      </c>
      <c r="F598" s="254">
        <v>0</v>
      </c>
      <c r="G598" s="30"/>
      <c r="H598" s="257"/>
      <c r="I598" s="257"/>
      <c r="J598" s="257"/>
      <c r="K598" s="257"/>
      <c r="L598" s="254" t="s">
        <v>16</v>
      </c>
      <c r="M598" s="355"/>
      <c r="N598" s="257"/>
      <c r="O598" s="257"/>
      <c r="P598" s="254" t="s">
        <v>16</v>
      </c>
      <c r="Q598" s="355"/>
      <c r="R598" s="257"/>
      <c r="S598" s="257"/>
      <c r="T598" s="255">
        <v>100</v>
      </c>
      <c r="V598" s="229">
        <v>618</v>
      </c>
    </row>
    <row r="599" spans="1:22" ht="15.75" customHeight="1">
      <c r="A599" s="276">
        <v>118</v>
      </c>
      <c r="B599" s="236">
        <v>2</v>
      </c>
      <c r="C599" s="200" t="s">
        <v>15</v>
      </c>
      <c r="D599" s="200" t="s">
        <v>17</v>
      </c>
      <c r="E599" s="200">
        <v>85.4</v>
      </c>
      <c r="F599" s="200">
        <v>14.6</v>
      </c>
      <c r="G599" s="39"/>
      <c r="H599" s="244"/>
      <c r="I599" s="244"/>
      <c r="J599" s="244"/>
      <c r="K599" s="244"/>
      <c r="L599" s="200" t="s">
        <v>16</v>
      </c>
      <c r="M599" s="354"/>
      <c r="N599" s="244"/>
      <c r="O599" s="244"/>
      <c r="P599" s="200" t="s">
        <v>16</v>
      </c>
      <c r="Q599" s="354"/>
      <c r="R599" s="244"/>
      <c r="S599" s="244"/>
      <c r="T599" s="234">
        <v>100</v>
      </c>
      <c r="V599" s="229">
        <v>619</v>
      </c>
    </row>
    <row r="600" spans="1:22" ht="15.75" customHeight="1">
      <c r="G600" s="23"/>
      <c r="L600" s="53"/>
      <c r="P600" s="53"/>
    </row>
    <row r="601" spans="1:22" ht="15.75" customHeight="1">
      <c r="G601" s="23"/>
      <c r="L601" s="53"/>
      <c r="P601" s="53"/>
    </row>
    <row r="602" spans="1:22" ht="15.75" customHeight="1">
      <c r="G602" s="23"/>
      <c r="L602" s="53"/>
      <c r="P602" s="53"/>
    </row>
    <row r="603" spans="1:22" ht="15.75" customHeight="1">
      <c r="G603" s="23"/>
      <c r="L603" s="53"/>
      <c r="P603" s="53"/>
    </row>
    <row r="604" spans="1:22" ht="15.75" customHeight="1">
      <c r="G604" s="23"/>
      <c r="L604" s="53"/>
      <c r="P604" s="53"/>
    </row>
    <row r="605" spans="1:22" ht="15.75" customHeight="1">
      <c r="G605" s="23"/>
      <c r="L605" s="53"/>
      <c r="P605" s="53"/>
    </row>
    <row r="606" spans="1:22" ht="15.75" customHeight="1">
      <c r="G606" s="23"/>
      <c r="L606" s="53"/>
      <c r="P606" s="53"/>
    </row>
    <row r="607" spans="1:22" ht="15.75" customHeight="1">
      <c r="G607" s="23"/>
      <c r="L607" s="53"/>
      <c r="P607" s="53"/>
    </row>
    <row r="608" spans="1:22" ht="15.75" customHeight="1">
      <c r="G608" s="23"/>
      <c r="L608" s="53"/>
      <c r="P608" s="53"/>
    </row>
    <row r="609" spans="7:16" ht="15.75" customHeight="1">
      <c r="G609" s="23"/>
      <c r="L609" s="53"/>
      <c r="P609" s="53"/>
    </row>
    <row r="610" spans="7:16" ht="15.75" customHeight="1">
      <c r="G610" s="23"/>
      <c r="L610" s="53"/>
      <c r="P610" s="53"/>
    </row>
    <row r="611" spans="7:16" ht="15.75" customHeight="1">
      <c r="G611" s="23"/>
      <c r="L611" s="53"/>
      <c r="P611" s="53"/>
    </row>
    <row r="612" spans="7:16" ht="15.75" customHeight="1">
      <c r="G612" s="23"/>
      <c r="L612" s="53"/>
      <c r="P612" s="53"/>
    </row>
    <row r="613" spans="7:16" ht="15.75" customHeight="1">
      <c r="G613" s="23"/>
      <c r="L613" s="53"/>
      <c r="P613" s="53"/>
    </row>
    <row r="614" spans="7:16" ht="15.75" customHeight="1">
      <c r="G614" s="23"/>
      <c r="L614" s="53"/>
      <c r="P614" s="53"/>
    </row>
    <row r="615" spans="7:16" ht="15.75" customHeight="1">
      <c r="G615" s="23"/>
      <c r="L615" s="53"/>
      <c r="P615" s="53"/>
    </row>
    <row r="616" spans="7:16" ht="15.75" customHeight="1">
      <c r="G616" s="23"/>
      <c r="L616" s="53"/>
      <c r="P616" s="53"/>
    </row>
    <row r="617" spans="7:16" ht="15.75" customHeight="1">
      <c r="G617" s="23"/>
      <c r="L617" s="53"/>
      <c r="P617" s="53"/>
    </row>
    <row r="618" spans="7:16" ht="15.75" customHeight="1">
      <c r="G618" s="23"/>
      <c r="L618" s="53"/>
      <c r="P618" s="53"/>
    </row>
    <row r="619" spans="7:16" ht="15.75" customHeight="1">
      <c r="G619" s="23"/>
      <c r="L619" s="53"/>
      <c r="P619" s="53"/>
    </row>
    <row r="620" spans="7:16" ht="15.75" customHeight="1">
      <c r="G620" s="23"/>
      <c r="L620" s="53"/>
      <c r="P620" s="53"/>
    </row>
    <row r="621" spans="7:16" ht="15.75" customHeight="1">
      <c r="G621" s="23"/>
      <c r="L621" s="53"/>
      <c r="P621" s="53"/>
    </row>
    <row r="622" spans="7:16" ht="15.75" customHeight="1">
      <c r="G622" s="23"/>
      <c r="L622" s="53"/>
      <c r="P622" s="53"/>
    </row>
    <row r="623" spans="7:16" ht="15.75" customHeight="1">
      <c r="G623" s="23"/>
      <c r="L623" s="53"/>
      <c r="P623" s="53"/>
    </row>
    <row r="624" spans="7:16" ht="15.75" customHeight="1">
      <c r="G624" s="23"/>
      <c r="L624" s="53"/>
      <c r="P624" s="53"/>
    </row>
    <row r="625" spans="1:16" ht="15.75" customHeight="1">
      <c r="G625" s="23"/>
      <c r="L625" s="53"/>
      <c r="P625" s="53"/>
    </row>
    <row r="626" spans="1:16" ht="15.75" customHeight="1">
      <c r="G626" s="23"/>
      <c r="L626" s="53"/>
      <c r="P626" s="53"/>
    </row>
    <row r="627" spans="1:16" ht="15.75" customHeight="1">
      <c r="G627" s="23"/>
      <c r="L627" s="53"/>
      <c r="P627" s="53"/>
    </row>
    <row r="628" spans="1:16" ht="15.75" customHeight="1">
      <c r="G628" s="23"/>
      <c r="L628" s="53"/>
      <c r="P628" s="53"/>
    </row>
    <row r="629" spans="1:16" ht="15.75" customHeight="1">
      <c r="G629" s="23"/>
      <c r="L629" s="53"/>
      <c r="P629" s="53"/>
    </row>
    <row r="630" spans="1:16" ht="15.75" customHeight="1">
      <c r="A630" s="117"/>
      <c r="B630" s="35"/>
      <c r="G630" s="23"/>
      <c r="L630" s="53"/>
      <c r="P630" s="53"/>
    </row>
    <row r="631" spans="1:16" ht="15.75" customHeight="1">
      <c r="A631" s="117"/>
      <c r="B631" s="35"/>
      <c r="G631" s="23"/>
      <c r="L631" s="53"/>
      <c r="P631" s="53"/>
    </row>
    <row r="632" spans="1:16" ht="15.75" customHeight="1">
      <c r="A632" s="117"/>
      <c r="B632" s="35"/>
      <c r="G632" s="23"/>
      <c r="L632" s="53"/>
      <c r="P632" s="53"/>
    </row>
    <row r="633" spans="1:16" ht="15.75" customHeight="1">
      <c r="A633" s="117"/>
      <c r="B633" s="35"/>
      <c r="G633" s="23"/>
      <c r="L633" s="53"/>
      <c r="P633" s="53"/>
    </row>
    <row r="634" spans="1:16" ht="15.75" customHeight="1">
      <c r="A634" s="117"/>
      <c r="B634" s="35"/>
      <c r="G634" s="23"/>
      <c r="L634" s="53"/>
      <c r="P634" s="53"/>
    </row>
    <row r="635" spans="1:16" ht="15.75" customHeight="1">
      <c r="A635" s="117"/>
      <c r="B635" s="35"/>
      <c r="G635" s="23"/>
      <c r="L635" s="53"/>
      <c r="P635" s="53"/>
    </row>
    <row r="636" spans="1:16" ht="15.75" customHeight="1">
      <c r="A636" s="117"/>
      <c r="B636" s="35"/>
      <c r="G636" s="23"/>
      <c r="L636" s="53"/>
      <c r="P636" s="53"/>
    </row>
    <row r="637" spans="1:16" ht="15.75" customHeight="1">
      <c r="A637" s="117"/>
      <c r="B637" s="35"/>
      <c r="G637" s="23"/>
      <c r="L637" s="53"/>
      <c r="P637" s="53"/>
    </row>
    <row r="638" spans="1:16" ht="15.75" customHeight="1">
      <c r="A638" s="117"/>
      <c r="B638" s="35"/>
      <c r="G638" s="23"/>
      <c r="L638" s="53"/>
      <c r="P638" s="53"/>
    </row>
    <row r="639" spans="1:16" ht="15.75" customHeight="1">
      <c r="A639" s="117"/>
      <c r="B639" s="35"/>
      <c r="G639" s="23"/>
      <c r="L639" s="53"/>
      <c r="P639" s="53"/>
    </row>
    <row r="640" spans="1:16" ht="15.75" customHeight="1">
      <c r="A640" s="117"/>
      <c r="B640" s="35"/>
      <c r="G640" s="23"/>
      <c r="L640" s="53"/>
      <c r="P640" s="53"/>
    </row>
    <row r="641" spans="1:16" ht="15.75" customHeight="1">
      <c r="A641" s="117"/>
      <c r="B641" s="35"/>
      <c r="G641" s="23"/>
      <c r="L641" s="53"/>
      <c r="P641" s="53"/>
    </row>
    <row r="642" spans="1:16" ht="15.75" customHeight="1">
      <c r="A642" s="117"/>
      <c r="B642" s="35"/>
      <c r="G642" s="23"/>
      <c r="L642" s="53"/>
      <c r="P642" s="53"/>
    </row>
    <row r="643" spans="1:16" ht="15.75" customHeight="1">
      <c r="A643" s="117"/>
      <c r="B643" s="35"/>
      <c r="G643" s="23"/>
      <c r="L643" s="53"/>
      <c r="P643" s="53"/>
    </row>
    <row r="644" spans="1:16" ht="15.75" customHeight="1">
      <c r="A644" s="117"/>
      <c r="B644" s="35"/>
      <c r="G644" s="23"/>
      <c r="L644" s="53"/>
      <c r="P644" s="53"/>
    </row>
    <row r="645" spans="1:16" ht="15.75" customHeight="1">
      <c r="A645" s="117"/>
      <c r="B645" s="35"/>
      <c r="G645" s="23"/>
      <c r="L645" s="53"/>
      <c r="P645" s="53"/>
    </row>
    <row r="646" spans="1:16" ht="15.75" customHeight="1">
      <c r="A646" s="117"/>
      <c r="B646" s="35"/>
      <c r="G646" s="23"/>
      <c r="L646" s="53"/>
      <c r="P646" s="53"/>
    </row>
    <row r="647" spans="1:16" ht="15.75" customHeight="1">
      <c r="A647" s="117"/>
      <c r="B647" s="35"/>
      <c r="G647" s="23"/>
      <c r="L647" s="53"/>
      <c r="P647" s="53"/>
    </row>
    <row r="648" spans="1:16" ht="15.75" customHeight="1">
      <c r="A648" s="117"/>
      <c r="B648" s="35"/>
      <c r="G648" s="23"/>
      <c r="L648" s="53"/>
      <c r="P648" s="53"/>
    </row>
    <row r="649" spans="1:16" ht="15.75" customHeight="1">
      <c r="A649" s="117"/>
      <c r="B649" s="35"/>
      <c r="G649" s="23"/>
      <c r="L649" s="53"/>
      <c r="P649" s="53"/>
    </row>
    <row r="650" spans="1:16" ht="15.75" customHeight="1">
      <c r="A650" s="117"/>
      <c r="B650" s="35"/>
      <c r="G650" s="23"/>
      <c r="L650" s="53"/>
      <c r="P650" s="53"/>
    </row>
    <row r="651" spans="1:16" ht="15.75" customHeight="1">
      <c r="A651" s="117"/>
      <c r="B651" s="35"/>
      <c r="G651" s="23"/>
      <c r="L651" s="53"/>
      <c r="P651" s="53"/>
    </row>
    <row r="652" spans="1:16" ht="15.75" customHeight="1">
      <c r="A652" s="117"/>
      <c r="B652" s="35"/>
      <c r="G652" s="23"/>
      <c r="L652" s="53"/>
      <c r="P652" s="53"/>
    </row>
    <row r="653" spans="1:16" ht="15.75" customHeight="1">
      <c r="A653" s="117"/>
      <c r="B653" s="35"/>
      <c r="G653" s="23"/>
      <c r="L653" s="53"/>
      <c r="P653" s="53"/>
    </row>
    <row r="654" spans="1:16" ht="15.75" customHeight="1">
      <c r="A654" s="117"/>
      <c r="B654" s="35"/>
      <c r="G654" s="23"/>
      <c r="L654" s="53"/>
      <c r="P654" s="53"/>
    </row>
    <row r="655" spans="1:16" ht="15.75" customHeight="1">
      <c r="A655" s="117"/>
      <c r="B655" s="35"/>
      <c r="G655" s="23"/>
      <c r="L655" s="53"/>
      <c r="P655" s="53"/>
    </row>
    <row r="656" spans="1:16" ht="15.75" customHeight="1">
      <c r="A656" s="117"/>
      <c r="B656" s="35"/>
      <c r="G656" s="23"/>
      <c r="L656" s="53"/>
      <c r="P656" s="53"/>
    </row>
    <row r="657" spans="1:16" ht="15.75" customHeight="1">
      <c r="A657" s="117"/>
      <c r="B657" s="35"/>
      <c r="G657" s="23"/>
      <c r="L657" s="53"/>
      <c r="P657" s="53"/>
    </row>
    <row r="658" spans="1:16" ht="15.75" customHeight="1">
      <c r="A658" s="117"/>
      <c r="B658" s="35"/>
      <c r="G658" s="23"/>
      <c r="L658" s="53"/>
      <c r="P658" s="53"/>
    </row>
    <row r="659" spans="1:16" ht="15.75" customHeight="1">
      <c r="A659" s="117"/>
      <c r="B659" s="35"/>
      <c r="G659" s="23"/>
      <c r="L659" s="53"/>
      <c r="P659" s="53"/>
    </row>
    <row r="660" spans="1:16" ht="15.75" customHeight="1">
      <c r="A660" s="117"/>
      <c r="B660" s="35"/>
      <c r="G660" s="23"/>
      <c r="L660" s="53"/>
      <c r="P660" s="53"/>
    </row>
    <row r="661" spans="1:16" ht="15.75" customHeight="1">
      <c r="A661" s="117"/>
      <c r="B661" s="35"/>
      <c r="G661" s="23"/>
      <c r="L661" s="53"/>
      <c r="P661" s="53"/>
    </row>
    <row r="662" spans="1:16" ht="15.75" customHeight="1">
      <c r="A662" s="117"/>
      <c r="B662" s="35"/>
      <c r="G662" s="23"/>
      <c r="L662" s="53"/>
      <c r="P662" s="53"/>
    </row>
    <row r="663" spans="1:16" ht="15.75" customHeight="1">
      <c r="A663" s="117"/>
      <c r="B663" s="35"/>
      <c r="G663" s="23"/>
      <c r="L663" s="53"/>
      <c r="P663" s="53"/>
    </row>
    <row r="664" spans="1:16" ht="15.75" customHeight="1">
      <c r="A664" s="117"/>
      <c r="B664" s="35"/>
      <c r="G664" s="23"/>
      <c r="L664" s="53"/>
      <c r="P664" s="53"/>
    </row>
    <row r="665" spans="1:16" ht="15.75" customHeight="1">
      <c r="A665" s="117"/>
      <c r="B665" s="35"/>
      <c r="G665" s="23"/>
      <c r="L665" s="53"/>
      <c r="P665" s="53"/>
    </row>
    <row r="666" spans="1:16" ht="15.75" customHeight="1">
      <c r="A666" s="117"/>
      <c r="B666" s="35"/>
      <c r="G666" s="23"/>
      <c r="L666" s="53"/>
      <c r="P666" s="53"/>
    </row>
    <row r="667" spans="1:16" ht="15.75" customHeight="1">
      <c r="A667" s="117"/>
      <c r="B667" s="35"/>
      <c r="G667" s="23"/>
      <c r="L667" s="53"/>
      <c r="P667" s="53"/>
    </row>
    <row r="668" spans="1:16" ht="15.75" customHeight="1">
      <c r="A668" s="117"/>
      <c r="B668" s="35"/>
      <c r="G668" s="23"/>
      <c r="L668" s="53"/>
      <c r="P668" s="53"/>
    </row>
    <row r="669" spans="1:16" ht="15.75" customHeight="1">
      <c r="A669" s="117"/>
      <c r="B669" s="35"/>
      <c r="G669" s="23"/>
      <c r="L669" s="53"/>
      <c r="P669" s="53"/>
    </row>
    <row r="670" spans="1:16" ht="15.75" customHeight="1">
      <c r="A670" s="117"/>
      <c r="B670" s="35"/>
      <c r="G670" s="23"/>
      <c r="L670" s="53"/>
      <c r="P670" s="53"/>
    </row>
    <row r="671" spans="1:16" ht="15.75" customHeight="1">
      <c r="A671" s="117"/>
      <c r="B671" s="35"/>
      <c r="G671" s="23"/>
      <c r="L671" s="53"/>
      <c r="P671" s="53"/>
    </row>
    <row r="672" spans="1:16" ht="15.75" customHeight="1">
      <c r="A672" s="117"/>
      <c r="B672" s="35"/>
      <c r="G672" s="23"/>
      <c r="L672" s="53"/>
      <c r="P672" s="53"/>
    </row>
    <row r="673" spans="1:16" ht="15.75" customHeight="1">
      <c r="A673" s="117"/>
      <c r="B673" s="35"/>
      <c r="G673" s="23"/>
      <c r="L673" s="53"/>
      <c r="P673" s="53"/>
    </row>
    <row r="674" spans="1:16" ht="15.75" customHeight="1">
      <c r="A674" s="117"/>
      <c r="B674" s="35"/>
      <c r="G674" s="23"/>
      <c r="L674" s="53"/>
      <c r="P674" s="53"/>
    </row>
    <row r="675" spans="1:16" ht="15.75" customHeight="1">
      <c r="A675" s="117"/>
      <c r="B675" s="35"/>
      <c r="G675" s="23"/>
      <c r="L675" s="53"/>
      <c r="P675" s="53"/>
    </row>
    <row r="676" spans="1:16" ht="15.75" customHeight="1">
      <c r="A676" s="117"/>
      <c r="B676" s="35"/>
      <c r="G676" s="23"/>
      <c r="L676" s="53"/>
      <c r="P676" s="53"/>
    </row>
    <row r="677" spans="1:16" ht="15.75" customHeight="1">
      <c r="A677" s="117"/>
      <c r="B677" s="35"/>
      <c r="G677" s="23"/>
      <c r="L677" s="53"/>
      <c r="P677" s="53"/>
    </row>
    <row r="678" spans="1:16" ht="15.75" customHeight="1">
      <c r="A678" s="117"/>
      <c r="B678" s="35"/>
      <c r="G678" s="23"/>
      <c r="L678" s="53"/>
      <c r="P678" s="53"/>
    </row>
    <row r="679" spans="1:16" ht="15.75" customHeight="1">
      <c r="A679" s="117"/>
      <c r="B679" s="35"/>
      <c r="G679" s="23"/>
      <c r="L679" s="53"/>
      <c r="P679" s="53"/>
    </row>
    <row r="680" spans="1:16" ht="15.75" customHeight="1">
      <c r="A680" s="117"/>
      <c r="B680" s="35"/>
      <c r="G680" s="23"/>
      <c r="L680" s="53"/>
      <c r="P680" s="53"/>
    </row>
    <row r="681" spans="1:16" ht="15.75" customHeight="1">
      <c r="A681" s="117"/>
      <c r="B681" s="35"/>
      <c r="G681" s="23"/>
      <c r="L681" s="53"/>
      <c r="P681" s="53"/>
    </row>
    <row r="682" spans="1:16" ht="15.75" customHeight="1">
      <c r="A682" s="117"/>
      <c r="B682" s="35"/>
      <c r="G682" s="23"/>
      <c r="L682" s="53"/>
      <c r="P682" s="53"/>
    </row>
    <row r="683" spans="1:16" ht="15.75" customHeight="1">
      <c r="A683" s="117"/>
      <c r="B683" s="35"/>
      <c r="G683" s="23"/>
      <c r="L683" s="53"/>
      <c r="P683" s="53"/>
    </row>
    <row r="684" spans="1:16" ht="15.75" customHeight="1">
      <c r="A684" s="117"/>
      <c r="B684" s="35"/>
      <c r="G684" s="23"/>
      <c r="L684" s="53"/>
      <c r="P684" s="53"/>
    </row>
    <row r="685" spans="1:16" ht="15.75" customHeight="1">
      <c r="A685" s="117"/>
      <c r="B685" s="35"/>
      <c r="G685" s="23"/>
      <c r="L685" s="53"/>
      <c r="P685" s="53"/>
    </row>
    <row r="686" spans="1:16" ht="15.75" customHeight="1">
      <c r="A686" s="117"/>
      <c r="B686" s="35"/>
      <c r="G686" s="23"/>
      <c r="L686" s="53"/>
      <c r="P686" s="53"/>
    </row>
    <row r="687" spans="1:16" ht="15.75" customHeight="1">
      <c r="A687" s="117"/>
      <c r="B687" s="35"/>
      <c r="G687" s="23"/>
      <c r="L687" s="53"/>
      <c r="P687" s="53"/>
    </row>
    <row r="688" spans="1:16" ht="15.75" customHeight="1">
      <c r="A688" s="117"/>
      <c r="B688" s="35"/>
      <c r="G688" s="23"/>
      <c r="L688" s="53"/>
      <c r="P688" s="53"/>
    </row>
    <row r="689" spans="1:16" ht="15.75" customHeight="1">
      <c r="A689" s="117"/>
      <c r="B689" s="35"/>
      <c r="G689" s="23"/>
      <c r="L689" s="53"/>
      <c r="P689" s="53"/>
    </row>
    <row r="690" spans="1:16" ht="15.75" customHeight="1">
      <c r="A690" s="117"/>
      <c r="B690" s="35"/>
      <c r="G690" s="23"/>
      <c r="L690" s="53"/>
      <c r="P690" s="53"/>
    </row>
    <row r="691" spans="1:16" ht="15.75" customHeight="1">
      <c r="A691" s="117"/>
      <c r="B691" s="35"/>
      <c r="G691" s="23"/>
      <c r="L691" s="53"/>
      <c r="P691" s="53"/>
    </row>
    <row r="692" spans="1:16" ht="15.75" customHeight="1">
      <c r="A692" s="117"/>
      <c r="B692" s="35"/>
      <c r="G692" s="23"/>
      <c r="L692" s="53"/>
      <c r="P692" s="53"/>
    </row>
    <row r="693" spans="1:16" ht="15.75" customHeight="1">
      <c r="A693" s="117"/>
      <c r="B693" s="35"/>
      <c r="G693" s="23"/>
      <c r="L693" s="53"/>
      <c r="P693" s="53"/>
    </row>
    <row r="694" spans="1:16" ht="15.75" customHeight="1">
      <c r="A694" s="117"/>
      <c r="B694" s="35"/>
      <c r="G694" s="23"/>
      <c r="L694" s="53"/>
      <c r="P694" s="53"/>
    </row>
    <row r="695" spans="1:16" ht="15.75" customHeight="1">
      <c r="A695" s="117"/>
      <c r="B695" s="35"/>
      <c r="G695" s="23"/>
      <c r="L695" s="53"/>
      <c r="P695" s="53"/>
    </row>
    <row r="696" spans="1:16" ht="15.75" customHeight="1">
      <c r="A696" s="117"/>
      <c r="B696" s="35"/>
      <c r="G696" s="23"/>
      <c r="L696" s="53"/>
      <c r="P696" s="53"/>
    </row>
    <row r="697" spans="1:16" ht="15.75" customHeight="1">
      <c r="A697" s="117"/>
      <c r="B697" s="35"/>
      <c r="G697" s="23"/>
      <c r="L697" s="53"/>
      <c r="P697" s="53"/>
    </row>
    <row r="698" spans="1:16" ht="15.75" customHeight="1">
      <c r="A698" s="117"/>
      <c r="B698" s="35"/>
      <c r="G698" s="23"/>
      <c r="L698" s="53"/>
      <c r="P698" s="53"/>
    </row>
    <row r="699" spans="1:16" ht="15.75" customHeight="1">
      <c r="A699" s="117"/>
      <c r="B699" s="35"/>
      <c r="G699" s="23"/>
      <c r="L699" s="53"/>
      <c r="P699" s="53"/>
    </row>
    <row r="700" spans="1:16" ht="15.75" customHeight="1">
      <c r="A700" s="117"/>
      <c r="B700" s="35"/>
      <c r="G700" s="23"/>
      <c r="L700" s="53"/>
      <c r="P700" s="53"/>
    </row>
    <row r="701" spans="1:16" ht="15.75" customHeight="1">
      <c r="A701" s="117"/>
      <c r="B701" s="35"/>
      <c r="G701" s="23"/>
      <c r="L701" s="53"/>
      <c r="P701" s="53"/>
    </row>
    <row r="702" spans="1:16" ht="15.75" customHeight="1">
      <c r="A702" s="117"/>
      <c r="B702" s="35"/>
      <c r="G702" s="23"/>
      <c r="L702" s="53"/>
      <c r="P702" s="53"/>
    </row>
    <row r="703" spans="1:16" ht="15.75" customHeight="1">
      <c r="A703" s="117"/>
      <c r="B703" s="35"/>
      <c r="G703" s="23"/>
      <c r="L703" s="53"/>
      <c r="P703" s="53"/>
    </row>
    <row r="704" spans="1:16" ht="15.75" customHeight="1">
      <c r="A704" s="117"/>
      <c r="B704" s="35"/>
      <c r="G704" s="23"/>
      <c r="L704" s="53"/>
      <c r="P704" s="53"/>
    </row>
    <row r="705" spans="1:16" ht="15.75" customHeight="1">
      <c r="A705" s="117"/>
      <c r="B705" s="35"/>
      <c r="G705" s="23"/>
      <c r="L705" s="53"/>
      <c r="P705" s="53"/>
    </row>
    <row r="706" spans="1:16" ht="15.75" customHeight="1">
      <c r="A706" s="117"/>
      <c r="B706" s="35"/>
      <c r="G706" s="23"/>
      <c r="L706" s="53"/>
      <c r="P706" s="53"/>
    </row>
    <row r="707" spans="1:16" ht="15.75" customHeight="1">
      <c r="A707" s="117"/>
      <c r="B707" s="35"/>
      <c r="G707" s="23"/>
      <c r="L707" s="53"/>
      <c r="P707" s="53"/>
    </row>
    <row r="708" spans="1:16" ht="15.75" customHeight="1">
      <c r="A708" s="117"/>
      <c r="B708" s="35"/>
      <c r="G708" s="23"/>
      <c r="L708" s="53"/>
      <c r="P708" s="53"/>
    </row>
    <row r="709" spans="1:16" ht="15.75" customHeight="1">
      <c r="A709" s="117"/>
      <c r="B709" s="35"/>
      <c r="G709" s="23"/>
      <c r="L709" s="53"/>
      <c r="P709" s="53"/>
    </row>
    <row r="710" spans="1:16" ht="15.75" customHeight="1">
      <c r="A710" s="117"/>
      <c r="B710" s="35"/>
      <c r="G710" s="23"/>
      <c r="L710" s="53"/>
      <c r="P710" s="53"/>
    </row>
    <row r="711" spans="1:16" ht="15.75" customHeight="1">
      <c r="A711" s="117"/>
      <c r="B711" s="35"/>
      <c r="G711" s="23"/>
      <c r="L711" s="53"/>
      <c r="P711" s="53"/>
    </row>
    <row r="712" spans="1:16" ht="15.75" customHeight="1">
      <c r="A712" s="117"/>
      <c r="B712" s="35"/>
      <c r="G712" s="23"/>
      <c r="L712" s="53"/>
      <c r="P712" s="53"/>
    </row>
    <row r="713" spans="1:16" ht="15.75" customHeight="1">
      <c r="A713" s="117"/>
      <c r="B713" s="35"/>
      <c r="G713" s="23"/>
      <c r="L713" s="53"/>
      <c r="P713" s="53"/>
    </row>
    <row r="714" spans="1:16" ht="15.75" customHeight="1">
      <c r="A714" s="117"/>
      <c r="B714" s="35"/>
      <c r="G714" s="23"/>
      <c r="L714" s="53"/>
      <c r="P714" s="53"/>
    </row>
    <row r="715" spans="1:16" ht="15.75" customHeight="1">
      <c r="A715" s="117"/>
      <c r="B715" s="35"/>
      <c r="G715" s="23"/>
      <c r="L715" s="53"/>
      <c r="P715" s="53"/>
    </row>
    <row r="716" spans="1:16" ht="15.75" customHeight="1">
      <c r="A716" s="117"/>
      <c r="B716" s="35"/>
      <c r="G716" s="23"/>
      <c r="L716" s="53"/>
      <c r="P716" s="53"/>
    </row>
    <row r="717" spans="1:16" ht="15.75" customHeight="1">
      <c r="A717" s="117"/>
      <c r="B717" s="35"/>
      <c r="G717" s="23"/>
      <c r="L717" s="53"/>
      <c r="P717" s="53"/>
    </row>
    <row r="718" spans="1:16" ht="15.75" customHeight="1">
      <c r="A718" s="117"/>
      <c r="B718" s="35"/>
      <c r="G718" s="23"/>
      <c r="L718" s="53"/>
      <c r="P718" s="53"/>
    </row>
    <row r="719" spans="1:16" ht="15.75" customHeight="1">
      <c r="A719" s="117"/>
      <c r="B719" s="35"/>
      <c r="G719" s="23"/>
      <c r="L719" s="53"/>
      <c r="P719" s="53"/>
    </row>
    <row r="720" spans="1:16" ht="15.75" customHeight="1">
      <c r="A720" s="117"/>
      <c r="B720" s="35"/>
      <c r="G720" s="23"/>
      <c r="L720" s="53"/>
      <c r="P720" s="53"/>
    </row>
    <row r="721" spans="1:16" ht="15.75" customHeight="1">
      <c r="A721" s="117"/>
      <c r="B721" s="35"/>
      <c r="G721" s="23"/>
      <c r="L721" s="53"/>
      <c r="P721" s="53"/>
    </row>
    <row r="722" spans="1:16" ht="15.75" customHeight="1">
      <c r="A722" s="117"/>
      <c r="B722" s="35"/>
      <c r="G722" s="23"/>
      <c r="L722" s="53"/>
      <c r="P722" s="53"/>
    </row>
    <row r="723" spans="1:16" ht="15.75" customHeight="1">
      <c r="A723" s="117"/>
      <c r="B723" s="35"/>
      <c r="G723" s="23"/>
      <c r="L723" s="53"/>
      <c r="P723" s="53"/>
    </row>
    <row r="724" spans="1:16" ht="15.75" customHeight="1">
      <c r="A724" s="117"/>
      <c r="B724" s="35"/>
      <c r="G724" s="23"/>
      <c r="L724" s="53"/>
      <c r="P724" s="53"/>
    </row>
    <row r="725" spans="1:16" ht="15.75" customHeight="1">
      <c r="A725" s="117"/>
      <c r="B725" s="35"/>
      <c r="G725" s="23"/>
      <c r="L725" s="53"/>
      <c r="P725" s="53"/>
    </row>
    <row r="726" spans="1:16" ht="15.75" customHeight="1">
      <c r="A726" s="117"/>
      <c r="B726" s="35"/>
      <c r="G726" s="23"/>
      <c r="L726" s="53"/>
      <c r="P726" s="53"/>
    </row>
    <row r="727" spans="1:16" ht="15.75" customHeight="1">
      <c r="A727" s="117"/>
      <c r="B727" s="35"/>
      <c r="G727" s="23"/>
      <c r="L727" s="53"/>
      <c r="P727" s="53"/>
    </row>
    <row r="728" spans="1:16" ht="15.75" customHeight="1">
      <c r="A728" s="117"/>
      <c r="B728" s="35"/>
      <c r="G728" s="23"/>
      <c r="L728" s="53"/>
      <c r="P728" s="53"/>
    </row>
    <row r="729" spans="1:16" ht="15.75" customHeight="1">
      <c r="A729" s="117"/>
      <c r="B729" s="35"/>
      <c r="G729" s="23"/>
      <c r="L729" s="53"/>
      <c r="P729" s="53"/>
    </row>
    <row r="730" spans="1:16" ht="15.75" customHeight="1">
      <c r="A730" s="117"/>
      <c r="B730" s="35"/>
      <c r="G730" s="23"/>
      <c r="L730" s="53"/>
      <c r="P730" s="53"/>
    </row>
    <row r="731" spans="1:16" ht="15.75" customHeight="1">
      <c r="A731" s="117"/>
      <c r="B731" s="35"/>
      <c r="G731" s="23"/>
      <c r="L731" s="53"/>
      <c r="P731" s="53"/>
    </row>
    <row r="732" spans="1:16" ht="15.75" customHeight="1">
      <c r="A732" s="117"/>
      <c r="B732" s="35"/>
      <c r="G732" s="23"/>
      <c r="L732" s="53"/>
      <c r="P732" s="53"/>
    </row>
    <row r="733" spans="1:16" ht="15.75" customHeight="1">
      <c r="A733" s="117"/>
      <c r="B733" s="35"/>
      <c r="G733" s="23"/>
      <c r="L733" s="53"/>
      <c r="P733" s="53"/>
    </row>
    <row r="734" spans="1:16" ht="15.75" customHeight="1">
      <c r="A734" s="117"/>
      <c r="B734" s="35"/>
      <c r="G734" s="23"/>
      <c r="L734" s="53"/>
      <c r="P734" s="53"/>
    </row>
    <row r="735" spans="1:16" ht="15.75" customHeight="1">
      <c r="A735" s="117"/>
      <c r="B735" s="35"/>
      <c r="G735" s="23"/>
      <c r="L735" s="53"/>
      <c r="P735" s="53"/>
    </row>
    <row r="736" spans="1:16" ht="15.75" customHeight="1">
      <c r="A736" s="117"/>
      <c r="B736" s="35"/>
      <c r="G736" s="23"/>
      <c r="L736" s="53"/>
      <c r="P736" s="53"/>
    </row>
    <row r="737" spans="1:16" ht="15.75" customHeight="1">
      <c r="A737" s="117"/>
      <c r="B737" s="35"/>
      <c r="G737" s="23"/>
      <c r="L737" s="53"/>
      <c r="P737" s="53"/>
    </row>
    <row r="738" spans="1:16" ht="15.75" customHeight="1">
      <c r="A738" s="117"/>
      <c r="B738" s="35"/>
      <c r="G738" s="23"/>
      <c r="L738" s="53"/>
      <c r="P738" s="53"/>
    </row>
    <row r="739" spans="1:16" ht="15.75" customHeight="1">
      <c r="A739" s="117"/>
      <c r="B739" s="35"/>
      <c r="G739" s="23"/>
      <c r="L739" s="53"/>
      <c r="P739" s="53"/>
    </row>
    <row r="740" spans="1:16" ht="15.75" customHeight="1">
      <c r="A740" s="117"/>
      <c r="B740" s="35"/>
      <c r="G740" s="23"/>
      <c r="L740" s="53"/>
      <c r="P740" s="53"/>
    </row>
    <row r="741" spans="1:16" ht="15.75" customHeight="1">
      <c r="A741" s="117"/>
      <c r="B741" s="35"/>
      <c r="G741" s="23"/>
      <c r="L741" s="53"/>
      <c r="P741" s="53"/>
    </row>
    <row r="742" spans="1:16" ht="15.75" customHeight="1">
      <c r="A742" s="117"/>
      <c r="B742" s="35"/>
      <c r="G742" s="23"/>
      <c r="L742" s="53"/>
      <c r="P742" s="53"/>
    </row>
    <row r="743" spans="1:16" ht="15.75" customHeight="1">
      <c r="A743" s="117"/>
      <c r="B743" s="35"/>
      <c r="G743" s="23"/>
      <c r="L743" s="53"/>
      <c r="P743" s="53"/>
    </row>
    <row r="744" spans="1:16" ht="15.75" customHeight="1">
      <c r="A744" s="117"/>
      <c r="B744" s="35"/>
      <c r="G744" s="23"/>
      <c r="L744" s="53"/>
      <c r="P744" s="53"/>
    </row>
    <row r="745" spans="1:16" ht="15.75" customHeight="1">
      <c r="A745" s="117"/>
      <c r="B745" s="35"/>
      <c r="G745" s="23"/>
      <c r="L745" s="53"/>
      <c r="P745" s="53"/>
    </row>
    <row r="746" spans="1:16" ht="15.75" customHeight="1">
      <c r="A746" s="117"/>
      <c r="B746" s="35"/>
      <c r="G746" s="23"/>
      <c r="L746" s="53"/>
      <c r="P746" s="53"/>
    </row>
    <row r="747" spans="1:16" ht="15.75" customHeight="1">
      <c r="A747" s="117"/>
      <c r="B747" s="35"/>
      <c r="G747" s="23"/>
      <c r="L747" s="53"/>
      <c r="P747" s="53"/>
    </row>
    <row r="748" spans="1:16" ht="15.75" customHeight="1">
      <c r="A748" s="117"/>
      <c r="B748" s="35"/>
      <c r="G748" s="23"/>
      <c r="L748" s="53"/>
      <c r="P748" s="53"/>
    </row>
    <row r="749" spans="1:16" ht="15.75" customHeight="1">
      <c r="A749" s="117"/>
      <c r="B749" s="35"/>
      <c r="G749" s="23"/>
      <c r="L749" s="53"/>
      <c r="P749" s="53"/>
    </row>
    <row r="750" spans="1:16" ht="15.75" customHeight="1">
      <c r="A750" s="117"/>
      <c r="B750" s="35"/>
      <c r="G750" s="23"/>
      <c r="L750" s="53"/>
      <c r="P750" s="53"/>
    </row>
    <row r="751" spans="1:16" ht="15.75" customHeight="1">
      <c r="A751" s="117"/>
      <c r="B751" s="35"/>
      <c r="G751" s="23"/>
      <c r="L751" s="53"/>
      <c r="P751" s="53"/>
    </row>
    <row r="752" spans="1:16" ht="15.75" customHeight="1">
      <c r="A752" s="117"/>
      <c r="B752" s="35"/>
      <c r="G752" s="23"/>
      <c r="L752" s="53"/>
      <c r="P752" s="53"/>
    </row>
    <row r="753" spans="1:16" ht="15.75" customHeight="1">
      <c r="A753" s="117"/>
      <c r="B753" s="35"/>
      <c r="G753" s="23"/>
      <c r="L753" s="53"/>
      <c r="P753" s="53"/>
    </row>
    <row r="754" spans="1:16" ht="15.75" customHeight="1">
      <c r="A754" s="117"/>
      <c r="B754" s="35"/>
      <c r="G754" s="23"/>
      <c r="L754" s="53"/>
      <c r="P754" s="53"/>
    </row>
    <row r="755" spans="1:16" ht="15.75" customHeight="1">
      <c r="A755" s="117"/>
      <c r="B755" s="35"/>
      <c r="G755" s="23"/>
      <c r="L755" s="53"/>
      <c r="P755" s="53"/>
    </row>
    <row r="756" spans="1:16" ht="15.75" customHeight="1">
      <c r="A756" s="117"/>
      <c r="B756" s="35"/>
      <c r="G756" s="23"/>
      <c r="L756" s="53"/>
      <c r="P756" s="53"/>
    </row>
    <row r="757" spans="1:16" ht="15.75" customHeight="1">
      <c r="A757" s="117"/>
      <c r="B757" s="35"/>
      <c r="G757" s="23"/>
      <c r="L757" s="53"/>
      <c r="P757" s="53"/>
    </row>
    <row r="758" spans="1:16" ht="15.75" customHeight="1">
      <c r="A758" s="117"/>
      <c r="B758" s="35"/>
      <c r="G758" s="23"/>
      <c r="L758" s="53"/>
      <c r="P758" s="53"/>
    </row>
    <row r="759" spans="1:16" ht="15.75" customHeight="1">
      <c r="A759" s="117"/>
      <c r="B759" s="35"/>
      <c r="G759" s="23"/>
      <c r="L759" s="53"/>
      <c r="P759" s="53"/>
    </row>
    <row r="760" spans="1:16" ht="15.75" customHeight="1">
      <c r="A760" s="117"/>
      <c r="B760" s="35"/>
      <c r="G760" s="23"/>
      <c r="L760" s="53"/>
      <c r="P760" s="53"/>
    </row>
    <row r="761" spans="1:16" ht="15.75" customHeight="1">
      <c r="A761" s="117"/>
      <c r="B761" s="35"/>
      <c r="G761" s="23"/>
      <c r="L761" s="53"/>
      <c r="P761" s="53"/>
    </row>
    <row r="762" spans="1:16" ht="15.75" customHeight="1">
      <c r="A762" s="117"/>
      <c r="B762" s="35"/>
      <c r="G762" s="23"/>
      <c r="L762" s="53"/>
      <c r="P762" s="53"/>
    </row>
    <row r="763" spans="1:16" ht="15.75" customHeight="1">
      <c r="A763" s="117"/>
      <c r="B763" s="35"/>
      <c r="G763" s="23"/>
      <c r="L763" s="53"/>
      <c r="P763" s="53"/>
    </row>
    <row r="764" spans="1:16" ht="15.75" customHeight="1">
      <c r="A764" s="117"/>
      <c r="B764" s="35"/>
      <c r="G764" s="23"/>
      <c r="L764" s="53"/>
      <c r="P764" s="53"/>
    </row>
    <row r="765" spans="1:16" ht="15.75" customHeight="1">
      <c r="A765" s="117"/>
      <c r="B765" s="35"/>
      <c r="G765" s="23"/>
      <c r="L765" s="53"/>
      <c r="P765" s="53"/>
    </row>
    <row r="766" spans="1:16" ht="15.75" customHeight="1">
      <c r="A766" s="117"/>
      <c r="B766" s="35"/>
      <c r="G766" s="23"/>
      <c r="L766" s="53"/>
      <c r="P766" s="53"/>
    </row>
    <row r="767" spans="1:16" ht="15.75" customHeight="1">
      <c r="A767" s="117"/>
      <c r="B767" s="35"/>
      <c r="G767" s="23"/>
      <c r="L767" s="53"/>
      <c r="P767" s="53"/>
    </row>
    <row r="768" spans="1:16" ht="15.75" customHeight="1">
      <c r="A768" s="117"/>
      <c r="B768" s="35"/>
      <c r="G768" s="23"/>
      <c r="L768" s="53"/>
      <c r="P768" s="53"/>
    </row>
    <row r="769" spans="1:16" ht="15.75" customHeight="1">
      <c r="A769" s="117"/>
      <c r="B769" s="35"/>
      <c r="G769" s="23"/>
      <c r="L769" s="53"/>
      <c r="P769" s="53"/>
    </row>
    <row r="770" spans="1:16" ht="15.75" customHeight="1">
      <c r="A770" s="117"/>
      <c r="B770" s="35"/>
      <c r="G770" s="23"/>
      <c r="L770" s="53"/>
      <c r="P770" s="53"/>
    </row>
    <row r="771" spans="1:16" ht="15.75" customHeight="1">
      <c r="A771" s="117"/>
      <c r="B771" s="35"/>
      <c r="G771" s="23"/>
      <c r="L771" s="53"/>
      <c r="P771" s="53"/>
    </row>
    <row r="772" spans="1:16" ht="15.75" customHeight="1">
      <c r="A772" s="117"/>
      <c r="B772" s="35"/>
      <c r="G772" s="23"/>
      <c r="L772" s="53"/>
      <c r="P772" s="53"/>
    </row>
    <row r="773" spans="1:16" ht="15.75" customHeight="1">
      <c r="A773" s="117"/>
      <c r="B773" s="35"/>
      <c r="G773" s="23"/>
      <c r="L773" s="53"/>
      <c r="P773" s="53"/>
    </row>
    <row r="774" spans="1:16" ht="15.75" customHeight="1">
      <c r="A774" s="117"/>
      <c r="B774" s="35"/>
      <c r="G774" s="23"/>
      <c r="L774" s="53"/>
      <c r="P774" s="53"/>
    </row>
    <row r="775" spans="1:16" ht="15.75" customHeight="1">
      <c r="A775" s="117"/>
      <c r="B775" s="35"/>
      <c r="G775" s="23"/>
      <c r="L775" s="53"/>
      <c r="P775" s="53"/>
    </row>
    <row r="776" spans="1:16" ht="15.75" customHeight="1">
      <c r="A776" s="117"/>
      <c r="B776" s="35"/>
      <c r="G776" s="23"/>
      <c r="L776" s="53"/>
      <c r="P776" s="53"/>
    </row>
    <row r="777" spans="1:16" ht="15.75" customHeight="1">
      <c r="A777" s="117"/>
      <c r="B777" s="35"/>
      <c r="G777" s="23"/>
      <c r="L777" s="53"/>
      <c r="P777" s="53"/>
    </row>
    <row r="778" spans="1:16" ht="15.75" customHeight="1">
      <c r="A778" s="117"/>
      <c r="B778" s="35"/>
      <c r="G778" s="23"/>
      <c r="L778" s="53"/>
      <c r="P778" s="53"/>
    </row>
    <row r="779" spans="1:16" ht="15.75" customHeight="1">
      <c r="A779" s="117"/>
      <c r="B779" s="35"/>
      <c r="G779" s="23"/>
      <c r="L779" s="53"/>
      <c r="P779" s="53"/>
    </row>
    <row r="780" spans="1:16" ht="15.75" customHeight="1">
      <c r="A780" s="117"/>
      <c r="B780" s="35"/>
      <c r="G780" s="23"/>
      <c r="L780" s="53"/>
      <c r="P780" s="53"/>
    </row>
    <row r="781" spans="1:16" ht="15.75" customHeight="1">
      <c r="A781" s="117"/>
      <c r="B781" s="35"/>
      <c r="G781" s="23"/>
      <c r="L781" s="53"/>
      <c r="P781" s="53"/>
    </row>
    <row r="782" spans="1:16" ht="15.75" customHeight="1">
      <c r="A782" s="117"/>
      <c r="B782" s="35"/>
      <c r="G782" s="23"/>
      <c r="L782" s="53"/>
      <c r="P782" s="53"/>
    </row>
    <row r="783" spans="1:16" ht="15.75" customHeight="1">
      <c r="A783" s="117"/>
      <c r="B783" s="35"/>
      <c r="G783" s="23"/>
      <c r="L783" s="53"/>
      <c r="P783" s="53"/>
    </row>
    <row r="784" spans="1:16" ht="15.75" customHeight="1">
      <c r="A784" s="117"/>
      <c r="B784" s="35"/>
      <c r="G784" s="23"/>
      <c r="L784" s="53"/>
      <c r="P784" s="53"/>
    </row>
    <row r="785" spans="1:16" ht="15.75" customHeight="1">
      <c r="A785" s="117"/>
      <c r="B785" s="35"/>
      <c r="G785" s="23"/>
      <c r="L785" s="53"/>
      <c r="P785" s="53"/>
    </row>
    <row r="786" spans="1:16" ht="15.75" customHeight="1">
      <c r="A786" s="117"/>
      <c r="B786" s="35"/>
      <c r="G786" s="23"/>
      <c r="L786" s="53"/>
      <c r="P786" s="53"/>
    </row>
    <row r="787" spans="1:16" ht="15.75" customHeight="1">
      <c r="A787" s="117"/>
      <c r="B787" s="35"/>
      <c r="G787" s="23"/>
      <c r="L787" s="53"/>
      <c r="P787" s="53"/>
    </row>
    <row r="788" spans="1:16" ht="15.75" customHeight="1">
      <c r="A788" s="117"/>
      <c r="B788" s="35"/>
      <c r="G788" s="23"/>
      <c r="L788" s="53"/>
      <c r="P788" s="53"/>
    </row>
    <row r="789" spans="1:16" ht="15.75" customHeight="1">
      <c r="A789" s="117"/>
      <c r="B789" s="35"/>
      <c r="G789" s="23"/>
      <c r="L789" s="53"/>
      <c r="P789" s="53"/>
    </row>
    <row r="790" spans="1:16" ht="15.75" customHeight="1">
      <c r="A790" s="117"/>
      <c r="B790" s="35"/>
      <c r="G790" s="23"/>
      <c r="L790" s="53"/>
      <c r="P790" s="53"/>
    </row>
    <row r="791" spans="1:16" ht="15.75" customHeight="1">
      <c r="A791" s="117"/>
      <c r="B791" s="35"/>
      <c r="G791" s="23"/>
      <c r="L791" s="53"/>
      <c r="P791" s="53"/>
    </row>
    <row r="792" spans="1:16" ht="15.75" customHeight="1">
      <c r="A792" s="117"/>
      <c r="B792" s="35"/>
      <c r="G792" s="23"/>
      <c r="L792" s="53"/>
      <c r="P792" s="53"/>
    </row>
    <row r="793" spans="1:16" ht="15.75" customHeight="1">
      <c r="A793" s="117"/>
      <c r="B793" s="35"/>
      <c r="G793" s="23"/>
      <c r="L793" s="53"/>
      <c r="P793" s="53"/>
    </row>
    <row r="794" spans="1:16" ht="15.75" customHeight="1">
      <c r="A794" s="117"/>
      <c r="B794" s="35"/>
      <c r="G794" s="23"/>
      <c r="L794" s="53"/>
      <c r="P794" s="53"/>
    </row>
    <row r="795" spans="1:16" ht="15.75" customHeight="1">
      <c r="A795" s="117"/>
      <c r="B795" s="35"/>
      <c r="G795" s="23"/>
      <c r="L795" s="53"/>
      <c r="P795" s="53"/>
    </row>
    <row r="796" spans="1:16" ht="15.75" customHeight="1">
      <c r="A796" s="117"/>
      <c r="B796" s="35"/>
      <c r="G796" s="23"/>
      <c r="L796" s="53"/>
      <c r="P796" s="53"/>
    </row>
    <row r="797" spans="1:16" ht="15.75" customHeight="1">
      <c r="A797" s="117"/>
      <c r="B797" s="35"/>
      <c r="G797" s="23"/>
      <c r="L797" s="53"/>
      <c r="P797" s="53"/>
    </row>
    <row r="798" spans="1:16" ht="15.75" customHeight="1">
      <c r="A798" s="117"/>
      <c r="B798" s="35"/>
      <c r="G798" s="23"/>
      <c r="L798" s="53"/>
      <c r="P798" s="53"/>
    </row>
    <row r="799" spans="1:16" ht="15.75" customHeight="1">
      <c r="A799" s="117"/>
      <c r="B799" s="35"/>
      <c r="G799" s="23"/>
      <c r="L799" s="53"/>
      <c r="P799" s="53"/>
    </row>
    <row r="800" spans="1:16" ht="15.75" customHeight="1">
      <c r="A800" s="117"/>
      <c r="B800" s="35"/>
      <c r="G800" s="23"/>
      <c r="L800" s="53"/>
      <c r="P800" s="53"/>
    </row>
    <row r="801" spans="1:16" ht="15.75" customHeight="1">
      <c r="A801" s="117"/>
      <c r="B801" s="35"/>
      <c r="G801" s="23"/>
      <c r="L801" s="53"/>
      <c r="P801" s="53"/>
    </row>
    <row r="802" spans="1:16" ht="15.75" customHeight="1">
      <c r="A802" s="117"/>
      <c r="B802" s="35"/>
      <c r="G802" s="23"/>
      <c r="L802" s="53"/>
      <c r="P802" s="53"/>
    </row>
    <row r="803" spans="1:16" ht="15.75" customHeight="1">
      <c r="A803" s="117"/>
      <c r="B803" s="35"/>
      <c r="G803" s="23"/>
      <c r="L803" s="53"/>
      <c r="P803" s="53"/>
    </row>
    <row r="804" spans="1:16" ht="15.75" customHeight="1">
      <c r="A804" s="117"/>
      <c r="B804" s="35"/>
      <c r="G804" s="23"/>
      <c r="L804" s="53"/>
      <c r="P804" s="53"/>
    </row>
    <row r="805" spans="1:16" ht="15.75" customHeight="1">
      <c r="A805" s="117"/>
      <c r="B805" s="35"/>
      <c r="G805" s="23"/>
      <c r="L805" s="53"/>
      <c r="P805" s="53"/>
    </row>
    <row r="806" spans="1:16" ht="15.75" customHeight="1">
      <c r="A806" s="117"/>
      <c r="B806" s="35"/>
      <c r="G806" s="23"/>
      <c r="L806" s="53"/>
      <c r="P806" s="53"/>
    </row>
    <row r="807" spans="1:16" ht="15.75" customHeight="1">
      <c r="A807" s="117"/>
      <c r="B807" s="35"/>
      <c r="G807" s="23"/>
      <c r="L807" s="53"/>
      <c r="P807" s="53"/>
    </row>
    <row r="808" spans="1:16" ht="15.75" customHeight="1">
      <c r="A808" s="117"/>
      <c r="B808" s="35"/>
      <c r="G808" s="23"/>
      <c r="L808" s="53"/>
      <c r="P808" s="53"/>
    </row>
    <row r="809" spans="1:16" ht="15.75" customHeight="1">
      <c r="A809" s="117"/>
      <c r="B809" s="35"/>
      <c r="G809" s="23"/>
      <c r="L809" s="53"/>
      <c r="P809" s="53"/>
    </row>
    <row r="810" spans="1:16" ht="15.75" customHeight="1">
      <c r="A810" s="117"/>
      <c r="B810" s="35"/>
      <c r="G810" s="23"/>
      <c r="L810" s="53"/>
      <c r="P810" s="53"/>
    </row>
    <row r="811" spans="1:16" ht="15.75" customHeight="1">
      <c r="A811" s="117"/>
      <c r="B811" s="35"/>
      <c r="G811" s="23"/>
      <c r="L811" s="53"/>
      <c r="P811" s="53"/>
    </row>
    <row r="812" spans="1:16" ht="15.75" customHeight="1">
      <c r="A812" s="117"/>
      <c r="B812" s="35"/>
      <c r="G812" s="23"/>
      <c r="L812" s="53"/>
      <c r="P812" s="53"/>
    </row>
    <row r="813" spans="1:16" ht="15.75" customHeight="1">
      <c r="A813" s="117"/>
      <c r="B813" s="35"/>
      <c r="G813" s="23"/>
      <c r="L813" s="53"/>
      <c r="P813" s="53"/>
    </row>
    <row r="814" spans="1:16" ht="15.75" customHeight="1">
      <c r="A814" s="117"/>
      <c r="B814" s="35"/>
      <c r="G814" s="23"/>
      <c r="L814" s="53"/>
      <c r="P814" s="53"/>
    </row>
    <row r="815" spans="1:16" ht="15.75" customHeight="1">
      <c r="A815" s="117"/>
      <c r="B815" s="35"/>
      <c r="G815" s="23"/>
      <c r="L815" s="53"/>
      <c r="P815" s="53"/>
    </row>
    <row r="816" spans="1:16" ht="15.75" customHeight="1">
      <c r="A816" s="117"/>
      <c r="B816" s="35"/>
      <c r="G816" s="23"/>
      <c r="L816" s="53"/>
      <c r="P816" s="53"/>
    </row>
    <row r="817" spans="1:16" ht="15.75" customHeight="1">
      <c r="A817" s="117"/>
      <c r="B817" s="35"/>
      <c r="G817" s="23"/>
      <c r="L817" s="53"/>
      <c r="P817" s="53"/>
    </row>
    <row r="818" spans="1:16" ht="15.75" customHeight="1">
      <c r="A818" s="117"/>
      <c r="B818" s="35"/>
      <c r="G818" s="23"/>
      <c r="L818" s="53"/>
      <c r="P818" s="53"/>
    </row>
    <row r="819" spans="1:16" ht="15.75" customHeight="1">
      <c r="A819" s="117"/>
      <c r="B819" s="35"/>
      <c r="G819" s="23"/>
      <c r="L819" s="53"/>
      <c r="P819" s="53"/>
    </row>
    <row r="820" spans="1:16" ht="15.75" customHeight="1">
      <c r="A820" s="117"/>
      <c r="B820" s="35"/>
      <c r="G820" s="23"/>
      <c r="L820" s="53"/>
      <c r="P820" s="53"/>
    </row>
    <row r="821" spans="1:16" ht="15.75" customHeight="1">
      <c r="A821" s="117"/>
      <c r="B821" s="35"/>
      <c r="G821" s="23"/>
      <c r="L821" s="53"/>
      <c r="P821" s="53"/>
    </row>
    <row r="822" spans="1:16" ht="15.75" customHeight="1">
      <c r="A822" s="117"/>
      <c r="B822" s="35"/>
      <c r="G822" s="23"/>
      <c r="L822" s="53"/>
      <c r="P822" s="53"/>
    </row>
    <row r="823" spans="1:16" ht="15.75" customHeight="1">
      <c r="A823" s="117"/>
      <c r="B823" s="35"/>
      <c r="G823" s="23"/>
      <c r="L823" s="53"/>
      <c r="P823" s="53"/>
    </row>
    <row r="824" spans="1:16" ht="15.75" customHeight="1">
      <c r="A824" s="117"/>
      <c r="B824" s="35"/>
      <c r="G824" s="23"/>
      <c r="L824" s="53"/>
      <c r="P824" s="53"/>
    </row>
    <row r="825" spans="1:16" ht="15.75" customHeight="1">
      <c r="A825" s="117"/>
      <c r="B825" s="35"/>
      <c r="G825" s="23"/>
      <c r="L825" s="53"/>
      <c r="P825" s="53"/>
    </row>
    <row r="826" spans="1:16" ht="15.75" customHeight="1">
      <c r="A826" s="117"/>
      <c r="B826" s="35"/>
      <c r="G826" s="23"/>
      <c r="L826" s="53"/>
      <c r="P826" s="53"/>
    </row>
    <row r="827" spans="1:16" ht="15.75" customHeight="1">
      <c r="A827" s="117"/>
      <c r="B827" s="35"/>
      <c r="G827" s="23"/>
      <c r="L827" s="53"/>
      <c r="P827" s="53"/>
    </row>
    <row r="828" spans="1:16" ht="15.75" customHeight="1">
      <c r="A828" s="117"/>
      <c r="B828" s="35"/>
      <c r="G828" s="23"/>
      <c r="L828" s="53"/>
      <c r="P828" s="53"/>
    </row>
    <row r="829" spans="1:16" ht="15.75" customHeight="1">
      <c r="A829" s="117"/>
      <c r="B829" s="35"/>
      <c r="G829" s="23"/>
      <c r="L829" s="53"/>
      <c r="P829" s="53"/>
    </row>
    <row r="830" spans="1:16" ht="15.75" customHeight="1">
      <c r="A830" s="117"/>
      <c r="B830" s="35"/>
      <c r="G830" s="23"/>
      <c r="L830" s="53"/>
      <c r="P830" s="53"/>
    </row>
    <row r="831" spans="1:16" ht="15.75" customHeight="1">
      <c r="A831" s="117"/>
      <c r="B831" s="35"/>
      <c r="G831" s="23"/>
      <c r="L831" s="53"/>
      <c r="P831" s="53"/>
    </row>
    <row r="832" spans="1:16" ht="15.75" customHeight="1">
      <c r="A832" s="117"/>
      <c r="B832" s="35"/>
      <c r="G832" s="23"/>
      <c r="L832" s="53"/>
      <c r="P832" s="53"/>
    </row>
    <row r="833" spans="1:16" ht="15.75" customHeight="1">
      <c r="A833" s="117"/>
      <c r="B833" s="35"/>
      <c r="G833" s="23"/>
      <c r="L833" s="53"/>
      <c r="P833" s="53"/>
    </row>
    <row r="834" spans="1:16" ht="15.75" customHeight="1">
      <c r="A834" s="117"/>
      <c r="B834" s="35"/>
      <c r="G834" s="23"/>
      <c r="L834" s="53"/>
      <c r="P834" s="53"/>
    </row>
    <row r="835" spans="1:16" ht="15.75" customHeight="1">
      <c r="A835" s="117"/>
      <c r="B835" s="35"/>
      <c r="G835" s="23"/>
      <c r="L835" s="53"/>
      <c r="P835" s="53"/>
    </row>
    <row r="836" spans="1:16" ht="15.75" customHeight="1">
      <c r="A836" s="117"/>
      <c r="B836" s="35"/>
      <c r="G836" s="23"/>
      <c r="L836" s="53"/>
      <c r="P836" s="53"/>
    </row>
    <row r="837" spans="1:16" ht="15.75" customHeight="1">
      <c r="A837" s="117"/>
      <c r="B837" s="35"/>
      <c r="G837" s="23"/>
      <c r="L837" s="53"/>
      <c r="P837" s="53"/>
    </row>
    <row r="838" spans="1:16" ht="15.75" customHeight="1">
      <c r="A838" s="117"/>
      <c r="B838" s="35"/>
      <c r="G838" s="23"/>
      <c r="L838" s="53"/>
      <c r="P838" s="53"/>
    </row>
    <row r="839" spans="1:16" ht="15.75" customHeight="1">
      <c r="A839" s="117"/>
      <c r="B839" s="35"/>
      <c r="G839" s="23"/>
      <c r="L839" s="53"/>
      <c r="P839" s="53"/>
    </row>
    <row r="840" spans="1:16" ht="15.75" customHeight="1">
      <c r="A840" s="117"/>
      <c r="B840" s="35"/>
      <c r="G840" s="23"/>
      <c r="L840" s="53"/>
      <c r="P840" s="53"/>
    </row>
    <row r="841" spans="1:16" ht="15.75" customHeight="1">
      <c r="A841" s="117"/>
      <c r="B841" s="35"/>
      <c r="G841" s="23"/>
      <c r="L841" s="53"/>
      <c r="P841" s="53"/>
    </row>
    <row r="842" spans="1:16" ht="15.75" customHeight="1">
      <c r="A842" s="117"/>
      <c r="B842" s="35"/>
      <c r="G842" s="23"/>
      <c r="L842" s="53"/>
      <c r="P842" s="53"/>
    </row>
    <row r="843" spans="1:16" ht="15.75" customHeight="1">
      <c r="A843" s="117"/>
      <c r="B843" s="35"/>
      <c r="G843" s="23"/>
      <c r="L843" s="53"/>
      <c r="P843" s="53"/>
    </row>
    <row r="844" spans="1:16" ht="15.75" customHeight="1">
      <c r="A844" s="117"/>
      <c r="B844" s="35"/>
      <c r="G844" s="23"/>
      <c r="L844" s="53"/>
      <c r="P844" s="53"/>
    </row>
    <row r="845" spans="1:16" ht="15.75" customHeight="1">
      <c r="A845" s="117"/>
      <c r="B845" s="35"/>
      <c r="G845" s="23"/>
      <c r="L845" s="53"/>
      <c r="P845" s="53"/>
    </row>
    <row r="846" spans="1:16" ht="15.75" customHeight="1">
      <c r="A846" s="117"/>
      <c r="B846" s="35"/>
      <c r="G846" s="23"/>
      <c r="L846" s="53"/>
      <c r="P846" s="53"/>
    </row>
    <row r="847" spans="1:16" ht="15.75" customHeight="1">
      <c r="A847" s="117"/>
      <c r="B847" s="35"/>
      <c r="G847" s="23"/>
      <c r="L847" s="53"/>
      <c r="P847" s="53"/>
    </row>
    <row r="848" spans="1:16" ht="15.75" customHeight="1">
      <c r="A848" s="117"/>
      <c r="B848" s="35"/>
      <c r="G848" s="23"/>
      <c r="L848" s="53"/>
      <c r="P848" s="53"/>
    </row>
    <row r="849" spans="1:16" ht="15.75" customHeight="1">
      <c r="A849" s="117"/>
      <c r="B849" s="35"/>
      <c r="G849" s="23"/>
      <c r="L849" s="53"/>
      <c r="P849" s="53"/>
    </row>
    <row r="850" spans="1:16" ht="15.75" customHeight="1">
      <c r="A850" s="117"/>
      <c r="B850" s="35"/>
      <c r="G850" s="23"/>
      <c r="L850" s="53"/>
      <c r="P850" s="53"/>
    </row>
    <row r="851" spans="1:16" ht="15.75" customHeight="1">
      <c r="A851" s="117"/>
      <c r="B851" s="35"/>
      <c r="G851" s="23"/>
      <c r="L851" s="53"/>
      <c r="P851" s="53"/>
    </row>
    <row r="852" spans="1:16" ht="15.75" customHeight="1">
      <c r="A852" s="117"/>
      <c r="B852" s="35"/>
      <c r="G852" s="23"/>
      <c r="L852" s="53"/>
      <c r="P852" s="53"/>
    </row>
    <row r="853" spans="1:16" ht="15.75" customHeight="1">
      <c r="A853" s="117"/>
      <c r="B853" s="35"/>
      <c r="G853" s="23"/>
      <c r="L853" s="53"/>
      <c r="P853" s="53"/>
    </row>
    <row r="854" spans="1:16" ht="15.75" customHeight="1">
      <c r="A854" s="117"/>
      <c r="B854" s="35"/>
      <c r="G854" s="23"/>
      <c r="L854" s="53"/>
      <c r="P854" s="53"/>
    </row>
    <row r="855" spans="1:16" ht="15.75" customHeight="1">
      <c r="A855" s="117"/>
      <c r="B855" s="35"/>
      <c r="G855" s="23"/>
      <c r="L855" s="53"/>
      <c r="P855" s="53"/>
    </row>
    <row r="856" spans="1:16" ht="15.75" customHeight="1">
      <c r="A856" s="117"/>
      <c r="B856" s="35"/>
      <c r="G856" s="23"/>
      <c r="L856" s="53"/>
      <c r="P856" s="53"/>
    </row>
    <row r="857" spans="1:16" ht="15.75" customHeight="1">
      <c r="A857" s="117"/>
      <c r="B857" s="35"/>
      <c r="G857" s="23"/>
      <c r="L857" s="53"/>
      <c r="P857" s="53"/>
    </row>
    <row r="858" spans="1:16" ht="15.75" customHeight="1">
      <c r="A858" s="117"/>
      <c r="B858" s="35"/>
      <c r="G858" s="23"/>
      <c r="L858" s="53"/>
      <c r="P858" s="53"/>
    </row>
    <row r="859" spans="1:16" ht="15.75" customHeight="1">
      <c r="A859" s="117"/>
      <c r="B859" s="35"/>
      <c r="G859" s="23"/>
      <c r="L859" s="53"/>
      <c r="P859" s="53"/>
    </row>
    <row r="860" spans="1:16" ht="15.75" customHeight="1">
      <c r="A860" s="117"/>
      <c r="B860" s="35"/>
      <c r="G860" s="23"/>
      <c r="L860" s="53"/>
      <c r="P860" s="53"/>
    </row>
    <row r="861" spans="1:16" ht="15.75" customHeight="1">
      <c r="A861" s="117"/>
      <c r="B861" s="35"/>
      <c r="G861" s="23"/>
      <c r="L861" s="53"/>
      <c r="P861" s="53"/>
    </row>
    <row r="862" spans="1:16" ht="15.75" customHeight="1">
      <c r="A862" s="117"/>
      <c r="B862" s="35"/>
      <c r="G862" s="23"/>
      <c r="L862" s="53"/>
      <c r="P862" s="53"/>
    </row>
    <row r="863" spans="1:16" ht="15.75" customHeight="1">
      <c r="A863" s="117"/>
      <c r="B863" s="35"/>
      <c r="G863" s="23"/>
      <c r="L863" s="53"/>
      <c r="P863" s="53"/>
    </row>
    <row r="864" spans="1:16" ht="15.75" customHeight="1">
      <c r="A864" s="117"/>
      <c r="B864" s="35"/>
      <c r="G864" s="23"/>
      <c r="L864" s="53"/>
      <c r="P864" s="53"/>
    </row>
    <row r="865" spans="1:16" ht="15.75" customHeight="1">
      <c r="A865" s="117"/>
      <c r="B865" s="35"/>
      <c r="G865" s="23"/>
      <c r="L865" s="53"/>
      <c r="P865" s="53"/>
    </row>
    <row r="866" spans="1:16" ht="15.75" customHeight="1">
      <c r="A866" s="117"/>
      <c r="B866" s="35"/>
      <c r="G866" s="23"/>
      <c r="L866" s="53"/>
      <c r="P866" s="53"/>
    </row>
    <row r="867" spans="1:16" ht="15.75" customHeight="1">
      <c r="A867" s="117"/>
      <c r="B867" s="35"/>
      <c r="G867" s="23"/>
      <c r="L867" s="53"/>
      <c r="P867" s="53"/>
    </row>
    <row r="868" spans="1:16" ht="15.75" customHeight="1">
      <c r="A868" s="117"/>
      <c r="B868" s="35"/>
      <c r="G868" s="23"/>
      <c r="L868" s="53"/>
      <c r="P868" s="53"/>
    </row>
    <row r="869" spans="1:16" ht="15.75" customHeight="1">
      <c r="A869" s="117"/>
      <c r="B869" s="35"/>
      <c r="G869" s="23"/>
      <c r="L869" s="53"/>
      <c r="P869" s="53"/>
    </row>
    <row r="870" spans="1:16" ht="15.75" customHeight="1">
      <c r="A870" s="117"/>
      <c r="B870" s="35"/>
      <c r="G870" s="23"/>
      <c r="L870" s="53"/>
      <c r="P870" s="53"/>
    </row>
    <row r="871" spans="1:16" ht="15.75" customHeight="1">
      <c r="A871" s="117"/>
      <c r="B871" s="35"/>
      <c r="G871" s="23"/>
      <c r="L871" s="53"/>
      <c r="P871" s="53"/>
    </row>
    <row r="872" spans="1:16" ht="15.75" customHeight="1">
      <c r="A872" s="117"/>
      <c r="B872" s="35"/>
      <c r="G872" s="23"/>
      <c r="L872" s="53"/>
      <c r="P872" s="53"/>
    </row>
    <row r="873" spans="1:16" ht="15.75" customHeight="1">
      <c r="A873" s="117"/>
      <c r="B873" s="35"/>
      <c r="G873" s="23"/>
      <c r="L873" s="53"/>
      <c r="P873" s="53"/>
    </row>
    <row r="874" spans="1:16" ht="15.75" customHeight="1">
      <c r="A874" s="117"/>
      <c r="B874" s="35"/>
      <c r="G874" s="23"/>
      <c r="L874" s="53"/>
      <c r="P874" s="53"/>
    </row>
    <row r="875" spans="1:16" ht="15.75" customHeight="1">
      <c r="A875" s="117"/>
      <c r="B875" s="35"/>
      <c r="G875" s="23"/>
      <c r="L875" s="53"/>
      <c r="P875" s="53"/>
    </row>
    <row r="876" spans="1:16" ht="15.75" customHeight="1">
      <c r="A876" s="117"/>
      <c r="B876" s="35"/>
      <c r="G876" s="23"/>
      <c r="L876" s="53"/>
      <c r="P876" s="53"/>
    </row>
    <row r="877" spans="1:16" ht="15.75" customHeight="1">
      <c r="A877" s="117"/>
      <c r="B877" s="35"/>
      <c r="G877" s="23"/>
      <c r="L877" s="53"/>
      <c r="P877" s="53"/>
    </row>
    <row r="878" spans="1:16" ht="15.75" customHeight="1">
      <c r="A878" s="117"/>
      <c r="B878" s="35"/>
      <c r="G878" s="23"/>
      <c r="L878" s="53"/>
      <c r="P878" s="53"/>
    </row>
    <row r="879" spans="1:16" ht="15.75" customHeight="1">
      <c r="A879" s="117"/>
      <c r="B879" s="35"/>
      <c r="G879" s="23"/>
      <c r="L879" s="53"/>
      <c r="P879" s="53"/>
    </row>
    <row r="880" spans="1:16" ht="15.75" customHeight="1">
      <c r="A880" s="117"/>
      <c r="B880" s="35"/>
      <c r="G880" s="23"/>
      <c r="L880" s="53"/>
      <c r="P880" s="53"/>
    </row>
    <row r="881" spans="1:16" ht="15.75" customHeight="1">
      <c r="A881" s="117"/>
      <c r="B881" s="35"/>
      <c r="G881" s="23"/>
      <c r="L881" s="53"/>
      <c r="P881" s="53"/>
    </row>
    <row r="882" spans="1:16" ht="15.75" customHeight="1">
      <c r="A882" s="117"/>
      <c r="B882" s="35"/>
      <c r="G882" s="23"/>
      <c r="L882" s="53"/>
      <c r="P882" s="53"/>
    </row>
    <row r="883" spans="1:16" ht="15.75" customHeight="1">
      <c r="A883" s="117"/>
      <c r="B883" s="35"/>
      <c r="G883" s="23"/>
      <c r="L883" s="53"/>
      <c r="P883" s="53"/>
    </row>
    <row r="884" spans="1:16" ht="15.75" customHeight="1">
      <c r="A884" s="117"/>
      <c r="B884" s="35"/>
      <c r="G884" s="23"/>
      <c r="L884" s="53"/>
      <c r="P884" s="53"/>
    </row>
    <row r="885" spans="1:16" ht="15.75" customHeight="1">
      <c r="A885" s="117"/>
      <c r="B885" s="35"/>
      <c r="G885" s="23"/>
      <c r="L885" s="53"/>
      <c r="P885" s="53"/>
    </row>
    <row r="886" spans="1:16" ht="15.75" customHeight="1">
      <c r="A886" s="117"/>
      <c r="B886" s="35"/>
      <c r="G886" s="23"/>
      <c r="L886" s="53"/>
      <c r="P886" s="53"/>
    </row>
    <row r="887" spans="1:16" ht="15.75" customHeight="1">
      <c r="A887" s="117"/>
      <c r="B887" s="35"/>
      <c r="G887" s="23"/>
      <c r="L887" s="53"/>
      <c r="P887" s="53"/>
    </row>
    <row r="888" spans="1:16" ht="15.75" customHeight="1">
      <c r="A888" s="117"/>
      <c r="B888" s="35"/>
      <c r="G888" s="23"/>
      <c r="L888" s="53"/>
      <c r="P888" s="53"/>
    </row>
    <row r="889" spans="1:16" ht="15.75" customHeight="1">
      <c r="A889" s="117"/>
      <c r="B889" s="35"/>
      <c r="G889" s="23"/>
      <c r="L889" s="53"/>
      <c r="P889" s="53"/>
    </row>
    <row r="890" spans="1:16" ht="15.75" customHeight="1">
      <c r="A890" s="117"/>
      <c r="B890" s="35"/>
      <c r="G890" s="23"/>
      <c r="L890" s="53"/>
      <c r="P890" s="53"/>
    </row>
    <row r="891" spans="1:16" ht="15.75" customHeight="1">
      <c r="A891" s="117"/>
      <c r="B891" s="35"/>
      <c r="G891" s="23"/>
      <c r="L891" s="53"/>
      <c r="P891" s="53"/>
    </row>
    <row r="892" spans="1:16" ht="15.75" customHeight="1">
      <c r="A892" s="117"/>
      <c r="B892" s="35"/>
      <c r="G892" s="23"/>
      <c r="L892" s="53"/>
      <c r="P892" s="53"/>
    </row>
    <row r="893" spans="1:16" ht="15.75" customHeight="1">
      <c r="A893" s="117"/>
      <c r="B893" s="35"/>
      <c r="G893" s="23"/>
      <c r="L893" s="53"/>
      <c r="P893" s="53"/>
    </row>
    <row r="894" spans="1:16" ht="15.75" customHeight="1">
      <c r="A894" s="117"/>
      <c r="B894" s="35"/>
      <c r="G894" s="23"/>
      <c r="L894" s="53"/>
      <c r="P894" s="53"/>
    </row>
    <row r="895" spans="1:16" ht="15.75" customHeight="1">
      <c r="A895" s="117"/>
      <c r="B895" s="35"/>
      <c r="G895" s="23"/>
      <c r="L895" s="53"/>
      <c r="P895" s="53"/>
    </row>
    <row r="896" spans="1:16" ht="15.75" customHeight="1">
      <c r="A896" s="117"/>
      <c r="B896" s="35"/>
      <c r="G896" s="23"/>
      <c r="L896" s="53"/>
      <c r="P896" s="53"/>
    </row>
    <row r="897" spans="1:16" ht="15.75" customHeight="1">
      <c r="A897" s="117"/>
      <c r="B897" s="35"/>
      <c r="G897" s="23"/>
      <c r="L897" s="53"/>
      <c r="P897" s="53"/>
    </row>
    <row r="898" spans="1:16" ht="15.75" customHeight="1">
      <c r="A898" s="117"/>
      <c r="B898" s="35"/>
      <c r="G898" s="23"/>
      <c r="L898" s="53"/>
      <c r="P898" s="53"/>
    </row>
    <row r="899" spans="1:16" ht="15.75" customHeight="1">
      <c r="A899" s="117"/>
      <c r="B899" s="35"/>
      <c r="G899" s="23"/>
      <c r="L899" s="53"/>
      <c r="P899" s="53"/>
    </row>
    <row r="900" spans="1:16" ht="15.75" customHeight="1">
      <c r="A900" s="117"/>
      <c r="B900" s="35"/>
      <c r="G900" s="23"/>
      <c r="L900" s="53"/>
      <c r="P900" s="53"/>
    </row>
    <row r="901" spans="1:16" ht="15.75" customHeight="1">
      <c r="A901" s="117"/>
      <c r="B901" s="35"/>
      <c r="G901" s="23"/>
      <c r="L901" s="53"/>
      <c r="P901" s="53"/>
    </row>
    <row r="902" spans="1:16" ht="15.75" customHeight="1">
      <c r="A902" s="117"/>
      <c r="B902" s="35"/>
      <c r="G902" s="23"/>
      <c r="L902" s="53"/>
      <c r="P902" s="53"/>
    </row>
    <row r="903" spans="1:16" ht="15.75" customHeight="1">
      <c r="A903" s="117"/>
      <c r="B903" s="35"/>
      <c r="G903" s="23"/>
      <c r="L903" s="53"/>
      <c r="P903" s="53"/>
    </row>
    <row r="904" spans="1:16" ht="15.75" customHeight="1">
      <c r="A904" s="117"/>
      <c r="B904" s="35"/>
      <c r="G904" s="23"/>
      <c r="L904" s="53"/>
      <c r="P904" s="53"/>
    </row>
    <row r="905" spans="1:16" ht="15.75" customHeight="1">
      <c r="A905" s="117"/>
      <c r="B905" s="35"/>
      <c r="G905" s="23"/>
      <c r="L905" s="53"/>
      <c r="P905" s="53"/>
    </row>
    <row r="906" spans="1:16" ht="15.75" customHeight="1">
      <c r="A906" s="117"/>
      <c r="B906" s="35"/>
      <c r="G906" s="23"/>
      <c r="L906" s="53"/>
      <c r="P906" s="53"/>
    </row>
    <row r="907" spans="1:16" ht="15.75" customHeight="1">
      <c r="A907" s="117"/>
      <c r="B907" s="35"/>
      <c r="G907" s="23"/>
      <c r="L907" s="53"/>
      <c r="P907" s="53"/>
    </row>
    <row r="908" spans="1:16" ht="15.75" customHeight="1">
      <c r="A908" s="117"/>
      <c r="B908" s="35"/>
      <c r="G908" s="23"/>
      <c r="L908" s="53"/>
      <c r="P908" s="53"/>
    </row>
    <row r="909" spans="1:16" ht="15.75" customHeight="1">
      <c r="A909" s="117"/>
      <c r="B909" s="35"/>
      <c r="G909" s="23"/>
      <c r="L909" s="53"/>
      <c r="P909" s="53"/>
    </row>
    <row r="910" spans="1:16" ht="15.75" customHeight="1">
      <c r="A910" s="117"/>
      <c r="B910" s="35"/>
      <c r="G910" s="23"/>
      <c r="L910" s="53"/>
      <c r="P910" s="53"/>
    </row>
    <row r="911" spans="1:16" ht="15.75" customHeight="1">
      <c r="A911" s="117"/>
      <c r="B911" s="35"/>
      <c r="G911" s="23"/>
      <c r="L911" s="53"/>
      <c r="P911" s="53"/>
    </row>
    <row r="912" spans="1:16" ht="15.75" customHeight="1">
      <c r="A912" s="117"/>
      <c r="B912" s="35"/>
      <c r="G912" s="23"/>
      <c r="L912" s="53"/>
      <c r="P912" s="53"/>
    </row>
    <row r="913" spans="1:16" ht="15.75" customHeight="1">
      <c r="A913" s="117"/>
      <c r="B913" s="35"/>
      <c r="G913" s="23"/>
      <c r="L913" s="53"/>
      <c r="P913" s="53"/>
    </row>
    <row r="914" spans="1:16" ht="15.75" customHeight="1">
      <c r="A914" s="117"/>
      <c r="B914" s="35"/>
      <c r="G914" s="23"/>
      <c r="L914" s="53"/>
      <c r="P914" s="53"/>
    </row>
    <row r="915" spans="1:16" ht="15.75" customHeight="1">
      <c r="A915" s="117"/>
      <c r="B915" s="35"/>
      <c r="G915" s="23"/>
      <c r="L915" s="53"/>
      <c r="P915" s="53"/>
    </row>
    <row r="916" spans="1:16" ht="15.75" customHeight="1">
      <c r="A916" s="117"/>
      <c r="B916" s="35"/>
      <c r="G916" s="23"/>
      <c r="L916" s="53"/>
      <c r="P916" s="53"/>
    </row>
    <row r="917" spans="1:16" ht="15.75" customHeight="1">
      <c r="A917" s="117"/>
      <c r="B917" s="35"/>
      <c r="G917" s="23"/>
      <c r="L917" s="53"/>
      <c r="P917" s="53"/>
    </row>
    <row r="918" spans="1:16" ht="15.75" customHeight="1">
      <c r="A918" s="117"/>
      <c r="B918" s="35"/>
      <c r="G918" s="23"/>
      <c r="L918" s="53"/>
      <c r="P918" s="53"/>
    </row>
    <row r="919" spans="1:16" ht="15.75" customHeight="1">
      <c r="A919" s="117"/>
      <c r="B919" s="35"/>
      <c r="G919" s="23"/>
      <c r="L919" s="53"/>
      <c r="P919" s="53"/>
    </row>
    <row r="920" spans="1:16" ht="15.75" customHeight="1">
      <c r="A920" s="117"/>
      <c r="B920" s="35"/>
      <c r="G920" s="23"/>
      <c r="L920" s="53"/>
      <c r="P920" s="53"/>
    </row>
    <row r="921" spans="1:16" ht="15.75" customHeight="1">
      <c r="A921" s="117"/>
      <c r="B921" s="35"/>
      <c r="G921" s="23"/>
      <c r="L921" s="53"/>
      <c r="P921" s="53"/>
    </row>
    <row r="922" spans="1:16" ht="15.75" customHeight="1">
      <c r="A922" s="117"/>
      <c r="B922" s="35"/>
      <c r="G922" s="23"/>
      <c r="L922" s="53"/>
      <c r="P922" s="53"/>
    </row>
    <row r="923" spans="1:16" ht="15.75" customHeight="1">
      <c r="A923" s="117"/>
      <c r="B923" s="35"/>
      <c r="G923" s="23"/>
      <c r="L923" s="53"/>
      <c r="P923" s="53"/>
    </row>
    <row r="924" spans="1:16" ht="15.75" customHeight="1">
      <c r="A924" s="117"/>
      <c r="B924" s="35"/>
      <c r="G924" s="23"/>
      <c r="L924" s="53"/>
      <c r="P924" s="53"/>
    </row>
    <row r="925" spans="1:16" ht="15.75" customHeight="1">
      <c r="A925" s="117"/>
      <c r="B925" s="35"/>
      <c r="G925" s="23"/>
      <c r="L925" s="53"/>
      <c r="P925" s="53"/>
    </row>
    <row r="926" spans="1:16" ht="15.75" customHeight="1">
      <c r="A926" s="117"/>
      <c r="B926" s="35"/>
      <c r="G926" s="23"/>
      <c r="L926" s="53"/>
      <c r="P926" s="53"/>
    </row>
    <row r="927" spans="1:16" ht="15.75" customHeight="1">
      <c r="A927" s="117"/>
      <c r="B927" s="35"/>
      <c r="G927" s="23"/>
      <c r="L927" s="53"/>
      <c r="P927" s="53"/>
    </row>
    <row r="928" spans="1:16" ht="15.75" customHeight="1">
      <c r="A928" s="117"/>
      <c r="B928" s="35"/>
      <c r="G928" s="23"/>
      <c r="L928" s="53"/>
      <c r="P928" s="53"/>
    </row>
    <row r="929" spans="1:16" ht="15.75" customHeight="1">
      <c r="A929" s="117"/>
      <c r="B929" s="35"/>
      <c r="G929" s="23"/>
      <c r="L929" s="53"/>
      <c r="P929" s="53"/>
    </row>
    <row r="930" spans="1:16" ht="15.75" customHeight="1">
      <c r="A930" s="117"/>
      <c r="B930" s="35"/>
      <c r="G930" s="23"/>
      <c r="L930" s="53"/>
      <c r="P930" s="53"/>
    </row>
    <row r="931" spans="1:16" ht="15.75" customHeight="1">
      <c r="A931" s="117"/>
      <c r="B931" s="35"/>
      <c r="G931" s="23"/>
      <c r="L931" s="53"/>
      <c r="P931" s="53"/>
    </row>
    <row r="932" spans="1:16" ht="15.75" customHeight="1">
      <c r="A932" s="117"/>
      <c r="B932" s="35"/>
      <c r="G932" s="23"/>
      <c r="L932" s="53"/>
      <c r="P932" s="53"/>
    </row>
    <row r="933" spans="1:16" ht="15.75" customHeight="1">
      <c r="A933" s="117"/>
      <c r="B933" s="35"/>
      <c r="G933" s="23"/>
      <c r="L933" s="53"/>
      <c r="P933" s="53"/>
    </row>
    <row r="934" spans="1:16" ht="15.75" customHeight="1">
      <c r="A934" s="117"/>
      <c r="B934" s="35"/>
      <c r="G934" s="23"/>
      <c r="L934" s="53"/>
      <c r="P934" s="53"/>
    </row>
    <row r="935" spans="1:16" ht="15.75" customHeight="1">
      <c r="A935" s="117"/>
      <c r="B935" s="35"/>
      <c r="G935" s="23"/>
      <c r="L935" s="53"/>
      <c r="P935" s="53"/>
    </row>
    <row r="936" spans="1:16" ht="15.75" customHeight="1">
      <c r="A936" s="117"/>
      <c r="B936" s="35"/>
      <c r="G936" s="23"/>
      <c r="L936" s="53"/>
      <c r="P936" s="53"/>
    </row>
    <row r="937" spans="1:16" ht="15.75" customHeight="1">
      <c r="A937" s="117"/>
      <c r="B937" s="35"/>
      <c r="G937" s="23"/>
      <c r="L937" s="53"/>
      <c r="P937" s="53"/>
    </row>
    <row r="938" spans="1:16" ht="15.75" customHeight="1">
      <c r="A938" s="117"/>
      <c r="B938" s="35"/>
      <c r="G938" s="23"/>
      <c r="L938" s="53"/>
      <c r="P938" s="53"/>
    </row>
    <row r="939" spans="1:16" ht="15.75" customHeight="1">
      <c r="A939" s="117"/>
      <c r="B939" s="35"/>
      <c r="G939" s="23"/>
      <c r="L939" s="53"/>
      <c r="P939" s="53"/>
    </row>
    <row r="940" spans="1:16" ht="15.75" customHeight="1">
      <c r="A940" s="117"/>
      <c r="B940" s="35"/>
      <c r="G940" s="23"/>
      <c r="L940" s="53"/>
      <c r="P940" s="53"/>
    </row>
    <row r="941" spans="1:16" ht="15.75" customHeight="1">
      <c r="A941" s="117"/>
      <c r="B941" s="35"/>
      <c r="G941" s="23"/>
      <c r="L941" s="53"/>
      <c r="P941" s="53"/>
    </row>
    <row r="942" spans="1:16" ht="15.75" customHeight="1">
      <c r="A942" s="117"/>
      <c r="B942" s="35"/>
      <c r="G942" s="23"/>
      <c r="L942" s="53"/>
      <c r="P942" s="53"/>
    </row>
    <row r="943" spans="1:16" ht="15.75" customHeight="1">
      <c r="A943" s="117"/>
      <c r="B943" s="35"/>
      <c r="G943" s="23"/>
      <c r="L943" s="53"/>
      <c r="P943" s="53"/>
    </row>
    <row r="944" spans="1:16" ht="15.75" customHeight="1">
      <c r="A944" s="117"/>
      <c r="B944" s="35"/>
      <c r="G944" s="23"/>
      <c r="L944" s="53"/>
      <c r="P944" s="53"/>
    </row>
    <row r="945" spans="1:16" ht="15.75" customHeight="1">
      <c r="A945" s="117"/>
      <c r="B945" s="35"/>
      <c r="G945" s="23"/>
      <c r="L945" s="53"/>
      <c r="P945" s="53"/>
    </row>
    <row r="946" spans="1:16" ht="15.75" customHeight="1">
      <c r="A946" s="117"/>
      <c r="B946" s="35"/>
      <c r="G946" s="23"/>
      <c r="L946" s="53"/>
      <c r="P946" s="53"/>
    </row>
    <row r="947" spans="1:16" ht="15.75" customHeight="1">
      <c r="A947" s="117"/>
      <c r="B947" s="35"/>
      <c r="G947" s="23"/>
      <c r="L947" s="53"/>
      <c r="P947" s="53"/>
    </row>
    <row r="948" spans="1:16" ht="15.75" customHeight="1">
      <c r="A948" s="117"/>
      <c r="B948" s="35"/>
      <c r="G948" s="23"/>
      <c r="L948" s="53"/>
      <c r="P948" s="53"/>
    </row>
    <row r="949" spans="1:16" ht="15.75" customHeight="1">
      <c r="A949" s="117"/>
      <c r="B949" s="35"/>
      <c r="G949" s="23"/>
      <c r="L949" s="53"/>
      <c r="P949" s="53"/>
    </row>
    <row r="950" spans="1:16" ht="15.75" customHeight="1">
      <c r="A950" s="117"/>
      <c r="B950" s="35"/>
      <c r="G950" s="23"/>
      <c r="L950" s="53"/>
      <c r="P950" s="53"/>
    </row>
    <row r="951" spans="1:16" ht="15.75" customHeight="1">
      <c r="A951" s="117"/>
      <c r="B951" s="35"/>
      <c r="G951" s="23"/>
      <c r="L951" s="53"/>
      <c r="P951" s="53"/>
    </row>
    <row r="952" spans="1:16" ht="15.75" customHeight="1">
      <c r="A952" s="117"/>
      <c r="B952" s="35"/>
      <c r="G952" s="23"/>
      <c r="L952" s="53"/>
      <c r="P952" s="53"/>
    </row>
    <row r="953" spans="1:16" ht="15.75" customHeight="1">
      <c r="A953" s="117"/>
      <c r="B953" s="35"/>
      <c r="G953" s="23"/>
      <c r="L953" s="53"/>
      <c r="P953" s="53"/>
    </row>
    <row r="954" spans="1:16" ht="15.75" customHeight="1">
      <c r="A954" s="117"/>
      <c r="B954" s="35"/>
      <c r="G954" s="23"/>
      <c r="L954" s="53"/>
      <c r="P954" s="53"/>
    </row>
    <row r="955" spans="1:16" ht="15.75" customHeight="1">
      <c r="A955" s="117"/>
      <c r="B955" s="35"/>
      <c r="G955" s="23"/>
      <c r="L955" s="53"/>
      <c r="P955" s="53"/>
    </row>
    <row r="956" spans="1:16" ht="15.75" customHeight="1">
      <c r="A956" s="117"/>
      <c r="B956" s="35"/>
      <c r="G956" s="23"/>
      <c r="L956" s="53"/>
      <c r="P956" s="53"/>
    </row>
    <row r="957" spans="1:16" ht="15.75" customHeight="1">
      <c r="A957" s="117"/>
      <c r="B957" s="35"/>
      <c r="G957" s="23"/>
      <c r="L957" s="53"/>
      <c r="P957" s="53"/>
    </row>
    <row r="958" spans="1:16" ht="15.75" customHeight="1">
      <c r="A958" s="117"/>
      <c r="B958" s="35"/>
      <c r="G958" s="23"/>
      <c r="L958" s="53"/>
      <c r="P958" s="53"/>
    </row>
    <row r="959" spans="1:16" ht="15.75" customHeight="1">
      <c r="A959" s="117"/>
      <c r="B959" s="35"/>
      <c r="G959" s="23"/>
      <c r="L959" s="53"/>
      <c r="P959" s="53"/>
    </row>
    <row r="960" spans="1:16" ht="15.75" customHeight="1">
      <c r="A960" s="117"/>
      <c r="B960" s="35"/>
      <c r="G960" s="23"/>
      <c r="L960" s="53"/>
      <c r="P960" s="53"/>
    </row>
    <row r="961" spans="1:16" ht="15.75" customHeight="1">
      <c r="A961" s="117"/>
      <c r="B961" s="35"/>
      <c r="G961" s="23"/>
      <c r="L961" s="53"/>
      <c r="P961" s="53"/>
    </row>
    <row r="962" spans="1:16" ht="15.75" customHeight="1">
      <c r="A962" s="117"/>
      <c r="B962" s="35"/>
      <c r="G962" s="23"/>
      <c r="L962" s="53"/>
      <c r="P962" s="53"/>
    </row>
    <row r="963" spans="1:16" ht="15.75" customHeight="1">
      <c r="A963" s="117"/>
      <c r="B963" s="35"/>
      <c r="G963" s="23"/>
      <c r="L963" s="53"/>
      <c r="P963" s="53"/>
    </row>
    <row r="964" spans="1:16" ht="15.75" customHeight="1">
      <c r="A964" s="117"/>
      <c r="B964" s="35"/>
      <c r="G964" s="23"/>
      <c r="L964" s="53"/>
      <c r="P964" s="53"/>
    </row>
    <row r="965" spans="1:16" ht="15.75" customHeight="1">
      <c r="A965" s="117"/>
      <c r="B965" s="35"/>
      <c r="G965" s="23"/>
      <c r="L965" s="53"/>
      <c r="P965" s="53"/>
    </row>
    <row r="966" spans="1:16" ht="15.75" customHeight="1">
      <c r="A966" s="117"/>
      <c r="B966" s="35"/>
      <c r="G966" s="23"/>
      <c r="L966" s="53"/>
      <c r="P966" s="53"/>
    </row>
    <row r="967" spans="1:16" ht="15.75" customHeight="1">
      <c r="A967" s="117"/>
      <c r="B967" s="35"/>
      <c r="G967" s="23"/>
      <c r="L967" s="53"/>
      <c r="P967" s="53"/>
    </row>
    <row r="968" spans="1:16" ht="15.75" customHeight="1">
      <c r="A968" s="117"/>
      <c r="B968" s="35"/>
      <c r="G968" s="23"/>
      <c r="L968" s="53"/>
      <c r="P968" s="53"/>
    </row>
    <row r="969" spans="1:16" ht="15.75" customHeight="1">
      <c r="A969" s="117"/>
      <c r="B969" s="35"/>
      <c r="G969" s="23"/>
      <c r="L969" s="53"/>
      <c r="P969" s="53"/>
    </row>
    <row r="970" spans="1:16" ht="15.75" customHeight="1">
      <c r="A970" s="117"/>
      <c r="B970" s="35"/>
      <c r="G970" s="23"/>
      <c r="L970" s="53"/>
      <c r="P970" s="53"/>
    </row>
    <row r="971" spans="1:16" ht="15.75" customHeight="1">
      <c r="A971" s="117"/>
      <c r="B971" s="35"/>
      <c r="G971" s="23"/>
      <c r="L971" s="53"/>
      <c r="P971" s="53"/>
    </row>
    <row r="972" spans="1:16" ht="15.75" customHeight="1">
      <c r="A972" s="117"/>
      <c r="B972" s="35"/>
      <c r="G972" s="23"/>
      <c r="L972" s="53"/>
      <c r="P972" s="53"/>
    </row>
    <row r="973" spans="1:16" ht="15.75" customHeight="1">
      <c r="A973" s="117"/>
      <c r="B973" s="35"/>
      <c r="G973" s="23"/>
      <c r="L973" s="53"/>
      <c r="P973" s="53"/>
    </row>
    <row r="974" spans="1:16" ht="15.75" customHeight="1">
      <c r="A974" s="117"/>
      <c r="B974" s="35"/>
      <c r="G974" s="23"/>
      <c r="L974" s="53"/>
      <c r="P974" s="53"/>
    </row>
    <row r="975" spans="1:16" ht="15.75" customHeight="1">
      <c r="A975" s="117"/>
      <c r="B975" s="35"/>
      <c r="G975" s="23"/>
      <c r="L975" s="53"/>
      <c r="P975" s="53"/>
    </row>
    <row r="976" spans="1:16" ht="15.75" customHeight="1">
      <c r="A976" s="117"/>
      <c r="B976" s="35"/>
      <c r="G976" s="23"/>
      <c r="L976" s="53"/>
      <c r="P976" s="53"/>
    </row>
    <row r="977" spans="1:16" ht="15.75" customHeight="1">
      <c r="A977" s="117"/>
      <c r="B977" s="35"/>
      <c r="G977" s="23"/>
      <c r="L977" s="53"/>
      <c r="P977" s="53"/>
    </row>
    <row r="978" spans="1:16" ht="15.75" customHeight="1">
      <c r="A978" s="117"/>
      <c r="B978" s="35"/>
      <c r="G978" s="23"/>
      <c r="J978" s="202"/>
      <c r="L978" s="53"/>
      <c r="P978" s="53"/>
    </row>
  </sheetData>
  <autoFilter ref="A1:T599" xr:uid="{00000000-0009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77"/>
  <sheetViews>
    <sheetView zoomScale="70" zoomScaleNormal="70" workbookViewId="0">
      <pane ySplit="1" topLeftCell="A557" activePane="bottomLeft" state="frozen"/>
      <selection activeCell="N31" sqref="N31"/>
      <selection pane="bottomLeft" activeCell="N31" sqref="N31"/>
    </sheetView>
  </sheetViews>
  <sheetFormatPr defaultColWidth="12.5703125" defaultRowHeight="15" customHeight="1"/>
  <cols>
    <col min="1" max="1" width="13.28515625" customWidth="1"/>
    <col min="2" max="2" width="12.85546875" customWidth="1"/>
    <col min="3" max="15" width="19.7109375" customWidth="1"/>
    <col min="16" max="16" width="20" customWidth="1"/>
    <col min="17" max="17" width="19.5703125" customWidth="1"/>
    <col min="18" max="18" width="18.140625" customWidth="1"/>
    <col min="19" max="19" width="20.42578125" customWidth="1"/>
    <col min="20" max="20" width="23.42578125" customWidth="1"/>
    <col min="21" max="21" width="14.140625" customWidth="1"/>
    <col min="22" max="38" width="9.42578125" customWidth="1"/>
  </cols>
  <sheetData>
    <row r="1" spans="1:38" ht="15.75" thickBot="1">
      <c r="A1" s="44" t="s">
        <v>0</v>
      </c>
      <c r="B1" s="45" t="s">
        <v>1</v>
      </c>
      <c r="C1" s="46" t="s">
        <v>141</v>
      </c>
      <c r="D1" s="46" t="s">
        <v>142</v>
      </c>
      <c r="E1" s="46" t="s">
        <v>143</v>
      </c>
      <c r="F1" s="46" t="s">
        <v>144</v>
      </c>
      <c r="G1" s="46" t="s">
        <v>145</v>
      </c>
      <c r="H1" s="46" t="s">
        <v>146</v>
      </c>
      <c r="I1" s="46" t="s">
        <v>147</v>
      </c>
      <c r="J1" s="46" t="s">
        <v>148</v>
      </c>
      <c r="K1" s="46" t="s">
        <v>149</v>
      </c>
      <c r="L1" s="46" t="s">
        <v>150</v>
      </c>
      <c r="M1" s="46" t="s">
        <v>151</v>
      </c>
      <c r="N1" s="46" t="s">
        <v>152</v>
      </c>
      <c r="O1" s="46" t="s">
        <v>153</v>
      </c>
      <c r="P1" s="46" t="s">
        <v>154</v>
      </c>
      <c r="Q1" s="46" t="s">
        <v>155</v>
      </c>
      <c r="R1" s="45" t="s">
        <v>156</v>
      </c>
      <c r="S1" s="46" t="s">
        <v>157</v>
      </c>
      <c r="T1" s="47" t="s">
        <v>158</v>
      </c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</row>
    <row r="2" spans="1:38" ht="15.75" thickBot="1">
      <c r="A2" s="120">
        <v>1</v>
      </c>
      <c r="B2" s="49">
        <v>1</v>
      </c>
      <c r="C2" s="50"/>
      <c r="D2" s="50"/>
      <c r="E2" s="50"/>
      <c r="F2" s="50"/>
      <c r="G2" s="50"/>
      <c r="H2" s="50"/>
      <c r="I2" s="50" t="s">
        <v>159</v>
      </c>
      <c r="J2" s="51"/>
      <c r="K2" s="51"/>
      <c r="L2" s="50">
        <v>100</v>
      </c>
      <c r="M2" s="51"/>
      <c r="N2" s="50" t="s">
        <v>160</v>
      </c>
      <c r="O2" s="51">
        <v>1578.3</v>
      </c>
      <c r="P2" s="51">
        <v>16.350000000000001</v>
      </c>
      <c r="Q2" s="51">
        <v>14.49</v>
      </c>
      <c r="R2" s="51"/>
      <c r="S2" s="51" t="s">
        <v>161</v>
      </c>
      <c r="T2" s="52">
        <v>3.95</v>
      </c>
      <c r="U2" s="53"/>
    </row>
    <row r="3" spans="1:38" ht="15.75" thickBot="1">
      <c r="A3" s="120">
        <v>2</v>
      </c>
      <c r="B3" s="54">
        <v>1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6"/>
      <c r="U3" s="53"/>
    </row>
    <row r="4" spans="1:38">
      <c r="A4" s="154">
        <v>3</v>
      </c>
      <c r="B4" s="57">
        <v>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9"/>
      <c r="U4" s="53"/>
    </row>
    <row r="5" spans="1:38">
      <c r="A5" s="157">
        <v>3</v>
      </c>
      <c r="B5" s="60">
        <v>2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2"/>
      <c r="U5" s="53"/>
    </row>
    <row r="6" spans="1:38" ht="15.75" thickBot="1">
      <c r="A6" s="156">
        <v>3</v>
      </c>
      <c r="B6" s="63">
        <v>3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5"/>
      <c r="U6" s="53"/>
    </row>
    <row r="7" spans="1:38" ht="15.75" thickBot="1">
      <c r="A7" s="120">
        <v>4</v>
      </c>
      <c r="B7" s="54">
        <v>1</v>
      </c>
      <c r="C7" s="66"/>
      <c r="D7" s="66"/>
      <c r="E7" s="66"/>
      <c r="F7" s="66"/>
      <c r="G7" s="66"/>
      <c r="H7" s="66"/>
      <c r="I7" s="66" t="s">
        <v>159</v>
      </c>
      <c r="J7" s="55"/>
      <c r="K7" s="66">
        <v>10</v>
      </c>
      <c r="L7" s="66">
        <v>2</v>
      </c>
      <c r="M7" s="55"/>
      <c r="N7" s="66" t="s">
        <v>162</v>
      </c>
      <c r="O7" s="55">
        <v>300</v>
      </c>
      <c r="P7" s="55">
        <v>10</v>
      </c>
      <c r="Q7" s="55"/>
      <c r="R7" s="55"/>
      <c r="S7" s="55" t="s">
        <v>161</v>
      </c>
      <c r="T7" s="56">
        <v>11</v>
      </c>
      <c r="U7" s="53"/>
    </row>
    <row r="8" spans="1:38">
      <c r="A8" s="154">
        <v>5</v>
      </c>
      <c r="B8" s="57">
        <v>1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9"/>
      <c r="U8" s="53"/>
    </row>
    <row r="9" spans="1:38" ht="15.75" thickBot="1">
      <c r="A9" s="156">
        <v>5</v>
      </c>
      <c r="B9" s="67">
        <v>2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9"/>
      <c r="U9" s="53"/>
    </row>
    <row r="10" spans="1:38" ht="15.75" thickBot="1">
      <c r="A10" s="120">
        <v>6</v>
      </c>
      <c r="B10" s="49">
        <v>1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2"/>
      <c r="U10" s="53"/>
    </row>
    <row r="11" spans="1:38" ht="15.75" thickBot="1">
      <c r="A11" s="120">
        <v>7</v>
      </c>
      <c r="B11" s="54">
        <v>1</v>
      </c>
      <c r="C11" s="55"/>
      <c r="D11" s="55"/>
      <c r="E11" s="55"/>
      <c r="F11" s="55"/>
      <c r="G11" s="55"/>
      <c r="H11" s="55"/>
      <c r="I11" s="55"/>
      <c r="J11" s="55"/>
      <c r="K11" s="66">
        <v>75</v>
      </c>
      <c r="L11" s="66">
        <v>4</v>
      </c>
      <c r="M11" s="55"/>
      <c r="N11" s="66" t="s">
        <v>162</v>
      </c>
      <c r="O11" s="55">
        <v>192</v>
      </c>
      <c r="P11" s="55">
        <v>24</v>
      </c>
      <c r="Q11" s="55"/>
      <c r="R11" s="55"/>
      <c r="S11" s="55" t="s">
        <v>161</v>
      </c>
      <c r="T11" s="56">
        <v>4</v>
      </c>
      <c r="U11" s="53"/>
    </row>
    <row r="12" spans="1:38">
      <c r="A12" s="154">
        <v>8</v>
      </c>
      <c r="B12" s="57">
        <v>1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9"/>
      <c r="U12" s="53"/>
    </row>
    <row r="13" spans="1:38" ht="15.75" thickBot="1">
      <c r="A13" s="156">
        <v>8</v>
      </c>
      <c r="B13" s="67">
        <v>2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9"/>
      <c r="U13" s="53"/>
    </row>
    <row r="14" spans="1:38">
      <c r="A14" s="154">
        <v>9</v>
      </c>
      <c r="B14" s="57">
        <v>1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9"/>
      <c r="U14" s="53"/>
    </row>
    <row r="15" spans="1:38" ht="15.75" thickBot="1">
      <c r="A15" s="156">
        <v>9</v>
      </c>
      <c r="B15" s="67">
        <v>2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9"/>
      <c r="U15" s="53"/>
    </row>
    <row r="16" spans="1:38" ht="15.75" thickBot="1">
      <c r="A16" s="154">
        <v>10</v>
      </c>
      <c r="B16" s="49">
        <v>1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2"/>
      <c r="U16" s="53"/>
    </row>
    <row r="17" spans="1:21">
      <c r="A17" s="154">
        <v>11</v>
      </c>
      <c r="B17" s="70">
        <v>1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2"/>
      <c r="U17" s="53"/>
    </row>
    <row r="18" spans="1:21">
      <c r="A18" s="157">
        <v>11</v>
      </c>
      <c r="B18" s="73">
        <v>2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5"/>
      <c r="U18" s="53"/>
    </row>
    <row r="19" spans="1:21">
      <c r="A19" s="157">
        <v>11</v>
      </c>
      <c r="B19" s="60">
        <v>3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2"/>
      <c r="U19" s="53"/>
    </row>
    <row r="20" spans="1:21" ht="15.75" thickBot="1">
      <c r="A20" s="157">
        <v>11</v>
      </c>
      <c r="B20" s="63">
        <v>4</v>
      </c>
      <c r="C20" s="76"/>
      <c r="D20" s="76"/>
      <c r="E20" s="76"/>
      <c r="F20" s="76"/>
      <c r="G20" s="76"/>
      <c r="H20" s="76"/>
      <c r="I20" s="76" t="s">
        <v>159</v>
      </c>
      <c r="J20" s="64"/>
      <c r="K20" s="76">
        <v>150</v>
      </c>
      <c r="L20" s="76">
        <v>50</v>
      </c>
      <c r="M20" s="76">
        <v>0.05</v>
      </c>
      <c r="N20" s="76" t="s">
        <v>162</v>
      </c>
      <c r="O20" s="64">
        <v>3500</v>
      </c>
      <c r="P20" s="64">
        <v>40</v>
      </c>
      <c r="Q20" s="64"/>
      <c r="R20" s="64"/>
      <c r="S20" s="64" t="s">
        <v>161</v>
      </c>
      <c r="T20" s="65">
        <v>0.4</v>
      </c>
      <c r="U20" s="53"/>
    </row>
    <row r="21" spans="1:21" ht="15.75" customHeight="1">
      <c r="A21" s="154">
        <v>12</v>
      </c>
      <c r="B21" s="70">
        <v>1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2"/>
      <c r="U21" s="53"/>
    </row>
    <row r="22" spans="1:21" ht="15.75" customHeight="1" thickBot="1">
      <c r="A22" s="157">
        <v>12</v>
      </c>
      <c r="B22" s="63">
        <v>2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5"/>
      <c r="U22" s="53"/>
    </row>
    <row r="23" spans="1:21" ht="15.75" customHeight="1">
      <c r="A23" s="154">
        <v>13</v>
      </c>
      <c r="B23" s="70">
        <v>1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2"/>
      <c r="U23" s="53"/>
    </row>
    <row r="24" spans="1:21" ht="15.75" customHeight="1">
      <c r="A24" s="157">
        <v>13</v>
      </c>
      <c r="B24" s="73">
        <v>2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  <c r="U24" s="53"/>
    </row>
    <row r="25" spans="1:21" ht="15.75" customHeight="1">
      <c r="A25" s="157">
        <v>13</v>
      </c>
      <c r="B25" s="60">
        <v>3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2"/>
      <c r="U25" s="53"/>
    </row>
    <row r="26" spans="1:21" ht="15.75" customHeight="1">
      <c r="A26" s="157">
        <v>13</v>
      </c>
      <c r="B26" s="73">
        <v>4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5"/>
      <c r="U26" s="53"/>
    </row>
    <row r="27" spans="1:21" ht="15.75" customHeight="1">
      <c r="A27" s="157">
        <v>13</v>
      </c>
      <c r="B27" s="60">
        <v>5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53"/>
    </row>
    <row r="28" spans="1:21" ht="15.75" customHeight="1">
      <c r="A28" s="157">
        <v>13</v>
      </c>
      <c r="B28" s="73">
        <v>6</v>
      </c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5"/>
      <c r="U28" s="53"/>
    </row>
    <row r="29" spans="1:21" ht="15.75" customHeight="1">
      <c r="A29" s="157">
        <v>13</v>
      </c>
      <c r="B29" s="60">
        <v>7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2"/>
      <c r="U29" s="53"/>
    </row>
    <row r="30" spans="1:21" ht="15.75" customHeight="1">
      <c r="A30" s="157">
        <v>13</v>
      </c>
      <c r="B30" s="73">
        <v>8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5"/>
      <c r="U30" s="53"/>
    </row>
    <row r="31" spans="1:21" ht="15.75" customHeight="1">
      <c r="A31" s="157">
        <v>13</v>
      </c>
      <c r="B31" s="60">
        <v>9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2"/>
      <c r="U31" s="53"/>
    </row>
    <row r="32" spans="1:21" ht="15.75" customHeight="1">
      <c r="A32" s="157">
        <v>13</v>
      </c>
      <c r="B32" s="73">
        <v>10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5"/>
      <c r="U32" s="53"/>
    </row>
    <row r="33" spans="1:21" ht="15.75" customHeight="1">
      <c r="A33" s="157">
        <v>13</v>
      </c>
      <c r="B33" s="60">
        <v>11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2"/>
      <c r="U33" s="53"/>
    </row>
    <row r="34" spans="1:21" ht="15.75" customHeight="1">
      <c r="A34" s="157">
        <v>13</v>
      </c>
      <c r="B34" s="73">
        <v>12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5"/>
      <c r="U34" s="53"/>
    </row>
    <row r="35" spans="1:21" ht="15.75" customHeight="1">
      <c r="A35" s="157">
        <v>13</v>
      </c>
      <c r="B35" s="60">
        <v>13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53"/>
    </row>
    <row r="36" spans="1:21" ht="15.75" customHeight="1">
      <c r="A36" s="157">
        <v>13</v>
      </c>
      <c r="B36" s="73">
        <v>14</v>
      </c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5"/>
      <c r="U36" s="53"/>
    </row>
    <row r="37" spans="1:21" ht="15.75" customHeight="1">
      <c r="A37" s="157">
        <v>13</v>
      </c>
      <c r="B37" s="60">
        <v>15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2"/>
      <c r="U37" s="53"/>
    </row>
    <row r="38" spans="1:21" ht="15.75" customHeight="1">
      <c r="A38" s="157">
        <v>13</v>
      </c>
      <c r="B38" s="73">
        <v>16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5"/>
      <c r="U38" s="53"/>
    </row>
    <row r="39" spans="1:21" ht="15.75" customHeight="1">
      <c r="A39" s="157">
        <v>13</v>
      </c>
      <c r="B39" s="60">
        <v>17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2"/>
      <c r="U39" s="53"/>
    </row>
    <row r="40" spans="1:21" ht="15.75" customHeight="1">
      <c r="A40" s="157">
        <v>13</v>
      </c>
      <c r="B40" s="73">
        <v>18</v>
      </c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5"/>
      <c r="U40" s="53"/>
    </row>
    <row r="41" spans="1:21" ht="15.75" customHeight="1">
      <c r="A41" s="157">
        <v>13</v>
      </c>
      <c r="B41" s="60">
        <v>19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53"/>
    </row>
    <row r="42" spans="1:21" ht="15.75" customHeight="1" thickBot="1">
      <c r="A42" s="156">
        <v>13</v>
      </c>
      <c r="B42" s="73">
        <v>20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64"/>
      <c r="P42" s="64"/>
      <c r="Q42" s="64"/>
      <c r="R42" s="64"/>
      <c r="S42" s="64"/>
      <c r="T42" s="65"/>
      <c r="U42" s="53"/>
    </row>
    <row r="43" spans="1:21" ht="15.75" customHeight="1">
      <c r="A43" s="157">
        <v>14</v>
      </c>
      <c r="B43" s="70">
        <v>1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2"/>
      <c r="U43" s="53"/>
    </row>
    <row r="44" spans="1:21" ht="15.75" customHeight="1">
      <c r="A44" s="157">
        <v>14</v>
      </c>
      <c r="B44" s="73">
        <v>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5"/>
      <c r="U44" s="53"/>
    </row>
    <row r="45" spans="1:21" ht="15.75" customHeight="1">
      <c r="A45" s="157">
        <v>14</v>
      </c>
      <c r="B45" s="60">
        <v>3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2"/>
      <c r="U45" s="53"/>
    </row>
    <row r="46" spans="1:21" ht="15.75" customHeight="1" thickBot="1">
      <c r="A46" s="157">
        <v>14</v>
      </c>
      <c r="B46" s="63">
        <v>4</v>
      </c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5"/>
      <c r="U46" s="53"/>
    </row>
    <row r="47" spans="1:21" ht="15.75" customHeight="1">
      <c r="A47" s="154">
        <v>15</v>
      </c>
      <c r="B47" s="70">
        <v>1</v>
      </c>
      <c r="C47" s="78"/>
      <c r="D47" s="78"/>
      <c r="E47" s="78"/>
      <c r="F47" s="78"/>
      <c r="G47" s="78"/>
      <c r="H47" s="78"/>
      <c r="I47" s="78" t="s">
        <v>159</v>
      </c>
      <c r="J47" s="79"/>
      <c r="K47" s="78">
        <v>25</v>
      </c>
      <c r="L47" s="78">
        <v>5</v>
      </c>
      <c r="M47" s="79"/>
      <c r="N47" s="78" t="s">
        <v>162</v>
      </c>
      <c r="O47" s="79">
        <v>369.9</v>
      </c>
      <c r="P47" s="71">
        <v>9</v>
      </c>
      <c r="Q47" s="71"/>
      <c r="R47" s="71"/>
      <c r="S47" s="71" t="s">
        <v>161</v>
      </c>
      <c r="T47" s="72">
        <v>23.7</v>
      </c>
      <c r="U47" s="53"/>
    </row>
    <row r="48" spans="1:21" ht="15.75" customHeight="1">
      <c r="A48" s="157">
        <v>15</v>
      </c>
      <c r="B48" s="73">
        <v>2</v>
      </c>
      <c r="C48" s="80"/>
      <c r="D48" s="80"/>
      <c r="E48" s="80"/>
      <c r="F48" s="80"/>
      <c r="G48" s="80"/>
      <c r="H48" s="80"/>
      <c r="I48" s="80" t="s">
        <v>159</v>
      </c>
      <c r="J48" s="81"/>
      <c r="K48" s="80">
        <v>25</v>
      </c>
      <c r="L48" s="80">
        <v>5</v>
      </c>
      <c r="M48" s="81"/>
      <c r="N48" s="80" t="s">
        <v>162</v>
      </c>
      <c r="O48" s="81">
        <v>324.3</v>
      </c>
      <c r="P48" s="74">
        <v>7.9</v>
      </c>
      <c r="Q48" s="74"/>
      <c r="R48" s="74"/>
      <c r="S48" s="74" t="s">
        <v>161</v>
      </c>
      <c r="T48" s="75">
        <v>13.2</v>
      </c>
      <c r="U48" s="53"/>
    </row>
    <row r="49" spans="1:21" ht="15.75" customHeight="1">
      <c r="A49" s="157">
        <v>15</v>
      </c>
      <c r="B49" s="60">
        <v>3</v>
      </c>
      <c r="C49" s="82"/>
      <c r="D49" s="82"/>
      <c r="E49" s="82"/>
      <c r="F49" s="82"/>
      <c r="G49" s="82"/>
      <c r="H49" s="82"/>
      <c r="I49" s="83" t="s">
        <v>159</v>
      </c>
      <c r="J49" s="84"/>
      <c r="K49" s="83">
        <v>25</v>
      </c>
      <c r="L49" s="83">
        <v>5</v>
      </c>
      <c r="M49" s="85"/>
      <c r="N49" s="83" t="s">
        <v>162</v>
      </c>
      <c r="O49" s="84">
        <v>583.29999999999995</v>
      </c>
      <c r="P49" s="61">
        <v>14.4</v>
      </c>
      <c r="Q49" s="61"/>
      <c r="R49" s="61"/>
      <c r="S49" s="61" t="s">
        <v>161</v>
      </c>
      <c r="T49" s="62">
        <v>8.4</v>
      </c>
      <c r="U49" s="53"/>
    </row>
    <row r="50" spans="1:21" ht="15.75" customHeight="1">
      <c r="A50" s="157">
        <v>15</v>
      </c>
      <c r="B50" s="73">
        <v>4</v>
      </c>
      <c r="C50" s="80"/>
      <c r="D50" s="80"/>
      <c r="E50" s="80"/>
      <c r="F50" s="80"/>
      <c r="G50" s="80"/>
      <c r="H50" s="80"/>
      <c r="I50" s="80" t="s">
        <v>159</v>
      </c>
      <c r="J50" s="81"/>
      <c r="K50" s="80">
        <v>25</v>
      </c>
      <c r="L50" s="80">
        <v>5</v>
      </c>
      <c r="M50" s="81"/>
      <c r="N50" s="80" t="s">
        <v>162</v>
      </c>
      <c r="O50" s="81">
        <v>336.5</v>
      </c>
      <c r="P50" s="74">
        <v>9.8000000000000007</v>
      </c>
      <c r="Q50" s="74"/>
      <c r="R50" s="74"/>
      <c r="S50" s="74" t="s">
        <v>161</v>
      </c>
      <c r="T50" s="75">
        <v>6.1</v>
      </c>
      <c r="U50" s="53"/>
    </row>
    <row r="51" spans="1:21" ht="15.75" customHeight="1" thickBot="1">
      <c r="A51" s="157">
        <v>15</v>
      </c>
      <c r="B51" s="67">
        <v>5</v>
      </c>
      <c r="C51" s="82"/>
      <c r="D51" s="82"/>
      <c r="E51" s="82"/>
      <c r="F51" s="82"/>
      <c r="G51" s="82"/>
      <c r="H51" s="82"/>
      <c r="I51" s="83" t="s">
        <v>159</v>
      </c>
      <c r="J51" s="86"/>
      <c r="K51" s="83">
        <v>25</v>
      </c>
      <c r="L51" s="83">
        <v>5</v>
      </c>
      <c r="M51" s="85"/>
      <c r="N51" s="83" t="s">
        <v>162</v>
      </c>
      <c r="O51" s="86">
        <v>198</v>
      </c>
      <c r="P51" s="68">
        <v>6.4</v>
      </c>
      <c r="Q51" s="68"/>
      <c r="R51" s="68"/>
      <c r="S51" s="68" t="s">
        <v>161</v>
      </c>
      <c r="T51" s="69">
        <v>7.9</v>
      </c>
      <c r="U51" s="53"/>
    </row>
    <row r="52" spans="1:21" ht="15.75" customHeight="1">
      <c r="A52" s="154">
        <v>17</v>
      </c>
      <c r="B52" s="70">
        <v>1</v>
      </c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2"/>
      <c r="U52" s="53"/>
    </row>
    <row r="53" spans="1:21" ht="15.75" customHeight="1" thickBot="1">
      <c r="A53" s="156">
        <v>17</v>
      </c>
      <c r="B53" s="63">
        <v>2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5"/>
      <c r="U53" s="53"/>
    </row>
    <row r="54" spans="1:21" ht="15.75" customHeight="1">
      <c r="A54" s="154">
        <v>18</v>
      </c>
      <c r="B54" s="70">
        <v>1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2"/>
      <c r="U54" s="53"/>
    </row>
    <row r="55" spans="1:21" ht="15.75" customHeight="1">
      <c r="A55" s="157">
        <v>18</v>
      </c>
      <c r="B55" s="73">
        <v>2</v>
      </c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5"/>
      <c r="U55" s="53"/>
    </row>
    <row r="56" spans="1:21" ht="15.75" customHeight="1">
      <c r="A56" s="157">
        <v>18</v>
      </c>
      <c r="B56" s="60">
        <v>3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2"/>
      <c r="U56" s="53"/>
    </row>
    <row r="57" spans="1:21" ht="15.75" customHeight="1">
      <c r="A57" s="157">
        <v>18</v>
      </c>
      <c r="B57" s="87">
        <v>4</v>
      </c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9"/>
      <c r="U57" s="53"/>
    </row>
    <row r="58" spans="1:21" ht="15.75" customHeight="1">
      <c r="A58" s="157">
        <v>18</v>
      </c>
      <c r="B58" s="90">
        <v>5</v>
      </c>
      <c r="T58" s="91"/>
    </row>
    <row r="59" spans="1:21" ht="15.75" customHeight="1">
      <c r="A59" s="157">
        <v>18</v>
      </c>
      <c r="B59" s="90">
        <v>6</v>
      </c>
      <c r="T59" s="91"/>
    </row>
    <row r="60" spans="1:21" ht="15.75" customHeight="1">
      <c r="A60" s="157">
        <v>18</v>
      </c>
      <c r="B60" s="90">
        <v>7</v>
      </c>
      <c r="T60" s="91"/>
    </row>
    <row r="61" spans="1:21" ht="15.75" customHeight="1">
      <c r="A61" s="157">
        <v>18</v>
      </c>
      <c r="B61" s="90">
        <v>8</v>
      </c>
      <c r="T61" s="91"/>
    </row>
    <row r="62" spans="1:21" ht="15.75" customHeight="1">
      <c r="A62" s="157">
        <v>18</v>
      </c>
      <c r="B62" s="90">
        <v>9</v>
      </c>
      <c r="T62" s="91"/>
    </row>
    <row r="63" spans="1:21" ht="15.75" customHeight="1">
      <c r="A63" s="157">
        <v>18</v>
      </c>
      <c r="B63" s="90">
        <v>10</v>
      </c>
      <c r="T63" s="91"/>
    </row>
    <row r="64" spans="1:21" ht="15.75" customHeight="1">
      <c r="A64" s="157">
        <v>18</v>
      </c>
      <c r="B64" s="90">
        <v>11</v>
      </c>
      <c r="T64" s="91"/>
    </row>
    <row r="65" spans="1:20" ht="15.75" customHeight="1">
      <c r="A65" s="157">
        <v>18</v>
      </c>
      <c r="B65" s="90">
        <v>12</v>
      </c>
      <c r="T65" s="91"/>
    </row>
    <row r="66" spans="1:20" ht="15.75" customHeight="1">
      <c r="A66" s="157">
        <v>18</v>
      </c>
      <c r="B66" s="90">
        <v>13</v>
      </c>
      <c r="T66" s="91"/>
    </row>
    <row r="67" spans="1:20" ht="15.75" customHeight="1" thickBot="1">
      <c r="A67" s="156">
        <v>18</v>
      </c>
      <c r="B67" s="203">
        <v>14</v>
      </c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92"/>
    </row>
    <row r="68" spans="1:20" ht="15.75" customHeight="1" thickBot="1">
      <c r="A68" s="93">
        <v>19</v>
      </c>
      <c r="B68" s="94">
        <v>1</v>
      </c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6"/>
    </row>
    <row r="69" spans="1:20" ht="15.75" customHeight="1">
      <c r="A69" s="205">
        <v>20</v>
      </c>
      <c r="B69" s="168">
        <v>1</v>
      </c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97"/>
    </row>
    <row r="70" spans="1:20" ht="15.75" customHeight="1">
      <c r="A70" s="98">
        <v>20</v>
      </c>
      <c r="B70" s="20">
        <v>2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99"/>
    </row>
    <row r="71" spans="1:20" ht="15.75" customHeight="1">
      <c r="A71" s="98">
        <v>20</v>
      </c>
      <c r="B71" s="20">
        <v>3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99"/>
    </row>
    <row r="72" spans="1:20" ht="15.75" customHeight="1">
      <c r="A72" s="98">
        <v>20</v>
      </c>
      <c r="B72" s="20">
        <v>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99"/>
    </row>
    <row r="73" spans="1:20" ht="15.75" customHeight="1">
      <c r="A73" s="98">
        <v>20</v>
      </c>
      <c r="B73" s="20">
        <v>5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99"/>
    </row>
    <row r="74" spans="1:20" ht="15.75" customHeight="1" thickBot="1">
      <c r="A74" s="206">
        <v>20</v>
      </c>
      <c r="B74" s="164">
        <v>6</v>
      </c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00"/>
    </row>
    <row r="75" spans="1:20" ht="15.75" customHeight="1">
      <c r="A75" s="98">
        <v>21</v>
      </c>
      <c r="B75" s="20">
        <v>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99"/>
    </row>
    <row r="76" spans="1:20" ht="15.75" customHeight="1">
      <c r="A76" s="98">
        <v>21</v>
      </c>
      <c r="B76" s="20">
        <v>2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99"/>
    </row>
    <row r="77" spans="1:20" ht="15.75" customHeight="1">
      <c r="A77" s="98">
        <v>21</v>
      </c>
      <c r="B77" s="20">
        <v>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99"/>
    </row>
    <row r="78" spans="1:20" ht="15.75" customHeight="1" thickBot="1">
      <c r="A78" s="98">
        <v>21</v>
      </c>
      <c r="B78" s="20">
        <v>4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99"/>
    </row>
    <row r="79" spans="1:20" ht="15.75" customHeight="1" thickBot="1">
      <c r="A79" s="101">
        <v>22</v>
      </c>
      <c r="B79" s="159">
        <v>1</v>
      </c>
      <c r="C79" s="161"/>
      <c r="D79" s="161"/>
      <c r="E79" s="161"/>
      <c r="F79" s="161"/>
      <c r="G79" s="161"/>
      <c r="H79" s="161"/>
      <c r="I79" s="161" t="s">
        <v>159</v>
      </c>
      <c r="J79" s="160"/>
      <c r="K79" s="160"/>
      <c r="L79" s="160"/>
      <c r="M79" s="161">
        <v>0.1</v>
      </c>
      <c r="N79" s="161" t="s">
        <v>162</v>
      </c>
      <c r="O79" s="160"/>
      <c r="P79" s="160">
        <v>43</v>
      </c>
      <c r="Q79" s="160"/>
      <c r="R79" s="160"/>
      <c r="S79" s="160" t="s">
        <v>161</v>
      </c>
      <c r="T79" s="102">
        <v>5</v>
      </c>
    </row>
    <row r="80" spans="1:20" ht="15.75" customHeight="1">
      <c r="A80" s="280">
        <v>23</v>
      </c>
      <c r="B80" s="20">
        <v>1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3500</v>
      </c>
      <c r="P80" s="17">
        <v>40</v>
      </c>
      <c r="Q80" s="17"/>
      <c r="R80" s="17"/>
      <c r="S80" s="17" t="s">
        <v>161</v>
      </c>
      <c r="T80" s="99">
        <v>5</v>
      </c>
    </row>
    <row r="81" spans="1:20" ht="15.75" customHeight="1">
      <c r="A81" s="280">
        <v>23</v>
      </c>
      <c r="B81" s="20">
        <v>2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2900</v>
      </c>
      <c r="P81" s="17">
        <v>38</v>
      </c>
      <c r="Q81" s="17"/>
      <c r="R81" s="17"/>
      <c r="S81" s="17" t="s">
        <v>161</v>
      </c>
      <c r="T81" s="99"/>
    </row>
    <row r="82" spans="1:20" ht="15.75" customHeight="1">
      <c r="A82" s="280">
        <v>23</v>
      </c>
      <c r="B82" s="20">
        <v>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1900</v>
      </c>
      <c r="P82" s="17">
        <v>37</v>
      </c>
      <c r="Q82" s="17"/>
      <c r="R82" s="17"/>
      <c r="S82" s="17" t="s">
        <v>161</v>
      </c>
      <c r="T82" s="99"/>
    </row>
    <row r="83" spans="1:20" ht="15.75" customHeight="1">
      <c r="A83" s="280">
        <v>23</v>
      </c>
      <c r="B83" s="20">
        <v>4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>
        <v>1500</v>
      </c>
      <c r="P83" s="17">
        <v>35</v>
      </c>
      <c r="Q83" s="17"/>
      <c r="R83" s="17"/>
      <c r="S83" s="17" t="s">
        <v>161</v>
      </c>
      <c r="T83" s="99"/>
    </row>
    <row r="84" spans="1:20" ht="15.75" customHeight="1">
      <c r="A84" s="280">
        <v>23</v>
      </c>
      <c r="B84" s="20">
        <v>5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>
        <v>1200</v>
      </c>
      <c r="P84" s="17">
        <v>32</v>
      </c>
      <c r="Q84" s="17"/>
      <c r="R84" s="17"/>
      <c r="S84" s="17" t="s">
        <v>161</v>
      </c>
      <c r="T84" s="99"/>
    </row>
    <row r="85" spans="1:20" ht="15.75" customHeight="1" thickBot="1">
      <c r="A85" s="280">
        <v>23</v>
      </c>
      <c r="B85" s="20">
        <v>6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v>700</v>
      </c>
      <c r="P85" s="17">
        <v>30</v>
      </c>
      <c r="Q85" s="17"/>
      <c r="R85" s="17"/>
      <c r="S85" s="17" t="s">
        <v>161</v>
      </c>
      <c r="T85" s="99"/>
    </row>
    <row r="86" spans="1:20" ht="15.75" customHeight="1">
      <c r="A86" s="281">
        <v>24</v>
      </c>
      <c r="B86" s="168">
        <v>1</v>
      </c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>
        <v>45</v>
      </c>
      <c r="Q86" s="169"/>
      <c r="R86" s="169"/>
      <c r="S86" s="169" t="s">
        <v>161</v>
      </c>
      <c r="T86" s="97">
        <v>4</v>
      </c>
    </row>
    <row r="87" spans="1:20" ht="15.75" customHeight="1">
      <c r="A87" s="280">
        <v>24</v>
      </c>
      <c r="B87" s="20">
        <v>2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38</v>
      </c>
      <c r="Q87" s="17"/>
      <c r="R87" s="17"/>
      <c r="S87" s="17" t="s">
        <v>161</v>
      </c>
      <c r="T87" s="99">
        <v>5</v>
      </c>
    </row>
    <row r="88" spans="1:20" ht="15.75" customHeight="1">
      <c r="A88" s="280">
        <v>24</v>
      </c>
      <c r="B88" s="20">
        <v>3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26</v>
      </c>
      <c r="Q88" s="17"/>
      <c r="R88" s="17"/>
      <c r="S88" s="17" t="s">
        <v>161</v>
      </c>
      <c r="T88" s="99">
        <v>27</v>
      </c>
    </row>
    <row r="89" spans="1:20" ht="15.75" customHeight="1">
      <c r="A89" s="280">
        <v>24</v>
      </c>
      <c r="B89" s="20">
        <v>4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21</v>
      </c>
      <c r="Q89" s="17"/>
      <c r="R89" s="17"/>
      <c r="S89" s="17" t="s">
        <v>161</v>
      </c>
      <c r="T89" s="99">
        <v>700</v>
      </c>
    </row>
    <row r="90" spans="1:20" ht="15.75" customHeight="1" thickBot="1">
      <c r="A90" s="282">
        <v>24</v>
      </c>
      <c r="B90" s="164">
        <v>5</v>
      </c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>
        <v>18</v>
      </c>
      <c r="Q90" s="165"/>
      <c r="R90" s="165"/>
      <c r="S90" s="165" t="s">
        <v>161</v>
      </c>
      <c r="T90" s="100">
        <v>970</v>
      </c>
    </row>
    <row r="91" spans="1:20" ht="15.75" customHeight="1">
      <c r="A91" s="283">
        <v>25</v>
      </c>
      <c r="B91" s="286">
        <v>1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 t="s">
        <v>163</v>
      </c>
      <c r="P91" s="17"/>
      <c r="Q91" s="17"/>
      <c r="R91" s="17"/>
      <c r="S91" s="17" t="s">
        <v>161</v>
      </c>
      <c r="T91" s="103">
        <v>64.7</v>
      </c>
    </row>
    <row r="92" spans="1:20" ht="15.75" customHeight="1">
      <c r="A92" s="283">
        <v>25</v>
      </c>
      <c r="B92" s="287">
        <v>2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99"/>
    </row>
    <row r="93" spans="1:20" ht="15.75" customHeight="1">
      <c r="A93" s="283">
        <v>25</v>
      </c>
      <c r="B93" s="287">
        <v>3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99"/>
    </row>
    <row r="94" spans="1:20" ht="15.75" customHeight="1" thickBot="1">
      <c r="A94" s="283">
        <v>25</v>
      </c>
      <c r="B94" s="287">
        <v>4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99"/>
    </row>
    <row r="95" spans="1:20" ht="15.75" customHeight="1">
      <c r="A95" s="284">
        <v>26</v>
      </c>
      <c r="B95" s="288">
        <v>1</v>
      </c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>
        <v>94</v>
      </c>
      <c r="Q95" s="169"/>
      <c r="R95" s="169"/>
      <c r="S95" s="169" t="s">
        <v>161</v>
      </c>
      <c r="T95" s="97"/>
    </row>
    <row r="96" spans="1:20" ht="15.75" customHeight="1">
      <c r="A96" s="283">
        <v>26</v>
      </c>
      <c r="B96" s="289">
        <v>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254</v>
      </c>
      <c r="Q96" s="17"/>
      <c r="R96" s="17"/>
      <c r="S96" s="17" t="s">
        <v>161</v>
      </c>
      <c r="T96" s="99"/>
    </row>
    <row r="97" spans="1:38" ht="15.75" customHeight="1" thickBot="1">
      <c r="A97" s="285">
        <v>26</v>
      </c>
      <c r="B97" s="290">
        <v>3</v>
      </c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>
        <v>241</v>
      </c>
      <c r="Q97" s="165"/>
      <c r="R97" s="165"/>
      <c r="S97" s="165" t="s">
        <v>161</v>
      </c>
      <c r="T97" s="100"/>
    </row>
    <row r="98" spans="1:38" ht="15.75" customHeight="1">
      <c r="A98" s="283">
        <v>27</v>
      </c>
      <c r="B98" s="289">
        <v>1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>
        <v>108</v>
      </c>
      <c r="P98" s="17"/>
      <c r="Q98" s="17"/>
      <c r="R98" s="17"/>
      <c r="S98" s="17" t="s">
        <v>161</v>
      </c>
      <c r="T98" s="99"/>
    </row>
    <row r="99" spans="1:38" ht="15.75" customHeight="1">
      <c r="A99" s="283">
        <v>27</v>
      </c>
      <c r="B99" s="289">
        <v>2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>
        <v>83.61</v>
      </c>
      <c r="P99" s="17"/>
      <c r="Q99" s="17"/>
      <c r="R99" s="17"/>
      <c r="S99" s="17" t="s">
        <v>161</v>
      </c>
      <c r="T99" s="99"/>
    </row>
    <row r="100" spans="1:38" ht="15.75" customHeight="1" thickBot="1">
      <c r="A100" s="283">
        <v>27</v>
      </c>
      <c r="B100" s="289">
        <v>3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>
        <v>70.55</v>
      </c>
      <c r="P100" s="17"/>
      <c r="Q100" s="17"/>
      <c r="R100" s="17"/>
      <c r="S100" s="17" t="s">
        <v>161</v>
      </c>
      <c r="T100" s="99"/>
    </row>
    <row r="101" spans="1:38" ht="15.75" customHeight="1" thickBot="1">
      <c r="A101" s="284">
        <v>28</v>
      </c>
      <c r="B101" s="291">
        <v>1</v>
      </c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97"/>
    </row>
    <row r="102" spans="1:38" ht="15.75" customHeight="1" thickBot="1">
      <c r="A102" s="173">
        <v>29</v>
      </c>
      <c r="B102" s="292">
        <v>1</v>
      </c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104"/>
    </row>
    <row r="103" spans="1:38" ht="15.75" customHeight="1" thickBot="1">
      <c r="A103" s="32">
        <v>30</v>
      </c>
      <c r="B103" s="293">
        <v>1</v>
      </c>
      <c r="C103" s="208"/>
      <c r="D103" s="208"/>
      <c r="E103" s="208"/>
      <c r="F103" s="208"/>
      <c r="G103" s="208"/>
      <c r="H103" s="208"/>
      <c r="I103" s="208" t="s">
        <v>164</v>
      </c>
      <c r="J103" s="208">
        <v>0.35</v>
      </c>
      <c r="K103" s="208"/>
      <c r="L103" s="208"/>
      <c r="M103" s="208"/>
      <c r="N103" s="208" t="s">
        <v>162</v>
      </c>
      <c r="O103" s="208">
        <f>2.16*1000</f>
        <v>2160</v>
      </c>
      <c r="P103" s="209"/>
      <c r="Q103" s="209"/>
      <c r="R103" s="209"/>
      <c r="S103" s="208" t="s">
        <v>161</v>
      </c>
      <c r="T103" s="105"/>
    </row>
    <row r="104" spans="1:38" ht="15.75" customHeight="1">
      <c r="A104" s="173">
        <v>31</v>
      </c>
      <c r="B104" s="184">
        <v>1</v>
      </c>
      <c r="C104" s="210"/>
      <c r="D104" s="210"/>
      <c r="E104" s="210"/>
      <c r="F104" s="210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106"/>
    </row>
    <row r="105" spans="1:38" ht="15.75" customHeight="1">
      <c r="A105" s="185">
        <v>31</v>
      </c>
      <c r="B105" s="186">
        <v>2</v>
      </c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8"/>
    </row>
    <row r="106" spans="1:38" ht="15.75" customHeight="1">
      <c r="A106" s="185">
        <v>31</v>
      </c>
      <c r="B106" s="186">
        <v>3</v>
      </c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8"/>
    </row>
    <row r="107" spans="1:38" ht="15.75" customHeight="1">
      <c r="A107" s="185">
        <v>31</v>
      </c>
      <c r="B107" s="186">
        <v>4</v>
      </c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8"/>
    </row>
    <row r="108" spans="1:38" ht="15.75" customHeight="1">
      <c r="A108" s="185">
        <v>31</v>
      </c>
      <c r="B108" s="186">
        <v>5</v>
      </c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8"/>
    </row>
    <row r="109" spans="1:38" ht="15.75" customHeight="1" thickBot="1">
      <c r="A109" s="191">
        <v>32</v>
      </c>
      <c r="B109" s="211">
        <v>1</v>
      </c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38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</row>
    <row r="110" spans="1:38" ht="15.75" customHeight="1">
      <c r="A110" s="193">
        <v>33</v>
      </c>
      <c r="B110" s="186">
        <v>1</v>
      </c>
      <c r="T110" s="6"/>
    </row>
    <row r="111" spans="1:38" ht="15.75" customHeight="1">
      <c r="A111" s="193">
        <v>33</v>
      </c>
      <c r="B111" s="186">
        <v>2</v>
      </c>
      <c r="T111" s="6"/>
    </row>
    <row r="112" spans="1:38" ht="15.75" customHeight="1">
      <c r="A112" s="193">
        <v>33</v>
      </c>
      <c r="B112" s="186">
        <v>3</v>
      </c>
      <c r="T112" s="6"/>
    </row>
    <row r="113" spans="1:20" ht="15.75" customHeight="1">
      <c r="A113" s="193">
        <v>33</v>
      </c>
      <c r="B113" s="186">
        <v>4</v>
      </c>
      <c r="T113" s="6"/>
    </row>
    <row r="114" spans="1:20" ht="15.75" customHeight="1">
      <c r="A114" s="193">
        <v>33</v>
      </c>
      <c r="B114" s="186">
        <v>5</v>
      </c>
      <c r="T114" s="6"/>
    </row>
    <row r="115" spans="1:20" ht="15.75" customHeight="1">
      <c r="A115" s="193">
        <v>33</v>
      </c>
      <c r="B115" s="186">
        <v>6</v>
      </c>
      <c r="T115" s="6"/>
    </row>
    <row r="116" spans="1:20" ht="15.75" customHeight="1" thickBot="1">
      <c r="A116" s="191">
        <v>33</v>
      </c>
      <c r="B116" s="188">
        <v>7</v>
      </c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41"/>
    </row>
    <row r="117" spans="1:20" ht="15.75" customHeight="1">
      <c r="A117" s="193">
        <v>34</v>
      </c>
      <c r="B117" s="186">
        <v>1</v>
      </c>
      <c r="T117" s="6"/>
    </row>
    <row r="118" spans="1:20" ht="15.75" customHeight="1">
      <c r="A118" s="193">
        <v>34</v>
      </c>
      <c r="B118" s="186">
        <v>2</v>
      </c>
      <c r="T118" s="6"/>
    </row>
    <row r="119" spans="1:20" ht="15.75" customHeight="1">
      <c r="A119" s="193">
        <v>34</v>
      </c>
      <c r="B119" s="186">
        <v>3</v>
      </c>
      <c r="T119" s="6"/>
    </row>
    <row r="120" spans="1:20" ht="15.75" customHeight="1">
      <c r="A120" s="193">
        <v>34</v>
      </c>
      <c r="B120" s="186">
        <v>4</v>
      </c>
      <c r="T120" s="6"/>
    </row>
    <row r="121" spans="1:20" ht="15.75" customHeight="1">
      <c r="A121" s="193">
        <v>34</v>
      </c>
      <c r="B121" s="186">
        <v>5</v>
      </c>
      <c r="T121" s="6"/>
    </row>
    <row r="122" spans="1:20" ht="15.75" customHeight="1">
      <c r="A122" s="193">
        <v>34</v>
      </c>
      <c r="B122" s="186">
        <v>6</v>
      </c>
      <c r="T122" s="6"/>
    </row>
    <row r="123" spans="1:20" ht="15.75" customHeight="1">
      <c r="A123" s="193">
        <v>34</v>
      </c>
      <c r="B123" s="186">
        <v>7</v>
      </c>
      <c r="T123" s="6"/>
    </row>
    <row r="124" spans="1:20" ht="15.75" customHeight="1" thickBot="1">
      <c r="A124" s="191">
        <v>34</v>
      </c>
      <c r="B124" s="188">
        <v>8</v>
      </c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41"/>
    </row>
    <row r="125" spans="1:20" ht="15.75" customHeight="1">
      <c r="A125" s="193">
        <v>35</v>
      </c>
      <c r="B125" s="186">
        <v>1</v>
      </c>
      <c r="T125" s="6"/>
    </row>
    <row r="126" spans="1:20" ht="15.75" customHeight="1">
      <c r="A126" s="193">
        <v>35</v>
      </c>
      <c r="B126" s="186">
        <v>2</v>
      </c>
      <c r="T126" s="6"/>
    </row>
    <row r="127" spans="1:20" ht="15.75" customHeight="1">
      <c r="A127" s="193">
        <v>35</v>
      </c>
      <c r="B127" s="186">
        <v>3</v>
      </c>
      <c r="T127" s="6"/>
    </row>
    <row r="128" spans="1:20" ht="15.75" customHeight="1">
      <c r="A128" s="193">
        <v>35</v>
      </c>
      <c r="B128" s="186">
        <v>4</v>
      </c>
      <c r="T128" s="6"/>
    </row>
    <row r="129" spans="1:20" ht="15.75" customHeight="1">
      <c r="A129" s="193">
        <v>35</v>
      </c>
      <c r="B129" s="186">
        <v>5</v>
      </c>
      <c r="T129" s="6"/>
    </row>
    <row r="130" spans="1:20" ht="15.75" customHeight="1">
      <c r="A130" s="193">
        <v>35</v>
      </c>
      <c r="B130" s="186">
        <v>6</v>
      </c>
      <c r="T130" s="6"/>
    </row>
    <row r="131" spans="1:20" ht="15.75" customHeight="1">
      <c r="A131" s="193">
        <v>35</v>
      </c>
      <c r="B131" s="186">
        <v>7</v>
      </c>
      <c r="T131" s="6"/>
    </row>
    <row r="132" spans="1:20" ht="15.75" customHeight="1">
      <c r="A132" s="193">
        <v>35</v>
      </c>
      <c r="B132" s="186">
        <v>8</v>
      </c>
      <c r="T132" s="6"/>
    </row>
    <row r="133" spans="1:20" ht="15.75" customHeight="1">
      <c r="A133" s="193">
        <v>35</v>
      </c>
      <c r="B133" s="186">
        <v>9</v>
      </c>
      <c r="C133" s="132">
        <v>527</v>
      </c>
      <c r="D133" s="35"/>
      <c r="E133" s="132">
        <v>25</v>
      </c>
      <c r="F133" s="132" t="s">
        <v>165</v>
      </c>
      <c r="G133" s="132">
        <v>10</v>
      </c>
      <c r="H133" s="132" t="s">
        <v>166</v>
      </c>
      <c r="I133" s="35"/>
      <c r="J133" s="35"/>
      <c r="K133" s="35"/>
      <c r="L133" s="35"/>
      <c r="M133" s="35"/>
      <c r="N133" s="35"/>
      <c r="O133" s="35">
        <v>600</v>
      </c>
      <c r="P133" s="35">
        <v>21</v>
      </c>
      <c r="R133" s="35">
        <v>21</v>
      </c>
      <c r="S133" s="132" t="s">
        <v>161</v>
      </c>
      <c r="T133" s="194"/>
    </row>
    <row r="134" spans="1:20" ht="15.75" customHeight="1">
      <c r="A134" s="193">
        <v>35</v>
      </c>
      <c r="B134" s="186">
        <v>10</v>
      </c>
      <c r="C134" s="132">
        <v>527</v>
      </c>
      <c r="D134" s="35"/>
      <c r="E134" s="132">
        <v>25</v>
      </c>
      <c r="F134" s="132" t="s">
        <v>165</v>
      </c>
      <c r="G134" s="132">
        <v>10</v>
      </c>
      <c r="H134" s="132" t="s">
        <v>166</v>
      </c>
      <c r="I134" s="35"/>
      <c r="J134" s="35"/>
      <c r="K134" s="35"/>
      <c r="L134" s="35"/>
      <c r="M134" s="35"/>
      <c r="N134" s="35"/>
      <c r="O134" s="35">
        <v>280</v>
      </c>
      <c r="P134" s="35">
        <v>13.3</v>
      </c>
      <c r="R134" s="35">
        <v>13.3</v>
      </c>
      <c r="S134" s="132" t="s">
        <v>161</v>
      </c>
      <c r="T134" s="194">
        <v>30</v>
      </c>
    </row>
    <row r="135" spans="1:20" ht="15.75" customHeight="1">
      <c r="A135" s="193">
        <v>35</v>
      </c>
      <c r="B135" s="186">
        <v>11</v>
      </c>
      <c r="C135" s="132">
        <v>527</v>
      </c>
      <c r="D135" s="35"/>
      <c r="E135" s="132">
        <v>25</v>
      </c>
      <c r="F135" s="132" t="s">
        <v>165</v>
      </c>
      <c r="G135" s="132">
        <v>10</v>
      </c>
      <c r="H135" s="132" t="s">
        <v>166</v>
      </c>
      <c r="I135" s="35"/>
      <c r="J135" s="35"/>
      <c r="K135" s="35"/>
      <c r="L135" s="35"/>
      <c r="M135" s="35"/>
      <c r="N135" s="35"/>
      <c r="O135" s="35">
        <v>780</v>
      </c>
      <c r="P135" s="35">
        <v>21.5</v>
      </c>
      <c r="R135" s="35">
        <v>21.5</v>
      </c>
      <c r="S135" s="132" t="s">
        <v>161</v>
      </c>
      <c r="T135" s="194"/>
    </row>
    <row r="136" spans="1:20" ht="15.75" customHeight="1" thickBot="1">
      <c r="A136" s="191">
        <v>35</v>
      </c>
      <c r="B136" s="188">
        <v>12</v>
      </c>
      <c r="C136" s="132">
        <v>527</v>
      </c>
      <c r="D136" s="35"/>
      <c r="E136" s="189">
        <v>25</v>
      </c>
      <c r="F136" s="132" t="s">
        <v>165</v>
      </c>
      <c r="G136" s="132">
        <v>10</v>
      </c>
      <c r="H136" s="132" t="s">
        <v>166</v>
      </c>
      <c r="I136" s="190"/>
      <c r="J136" s="190"/>
      <c r="K136" s="190"/>
      <c r="L136" s="190"/>
      <c r="M136" s="190"/>
      <c r="N136" s="190"/>
      <c r="O136" s="190">
        <v>400</v>
      </c>
      <c r="P136" s="190">
        <v>14.8</v>
      </c>
      <c r="Q136" s="195"/>
      <c r="R136" s="190">
        <v>14.8</v>
      </c>
      <c r="S136" s="189" t="s">
        <v>161</v>
      </c>
      <c r="T136" s="196"/>
    </row>
    <row r="137" spans="1:20" ht="15.75" customHeight="1">
      <c r="A137" s="173">
        <v>36</v>
      </c>
      <c r="B137" s="184">
        <v>1</v>
      </c>
      <c r="C137" s="176"/>
      <c r="D137" s="174" t="s">
        <v>167</v>
      </c>
      <c r="E137" s="176"/>
      <c r="F137" s="176"/>
      <c r="G137" s="174">
        <v>5</v>
      </c>
      <c r="H137" s="174" t="s">
        <v>166</v>
      </c>
      <c r="I137" s="176"/>
      <c r="J137" s="176"/>
      <c r="K137" s="176"/>
      <c r="L137" s="176"/>
      <c r="M137" s="176"/>
      <c r="N137" s="176"/>
      <c r="O137" s="277">
        <v>458.95121999999992</v>
      </c>
      <c r="P137" s="277">
        <v>25.49729</v>
      </c>
      <c r="Q137" s="176"/>
      <c r="R137" s="176"/>
      <c r="S137" s="174" t="s">
        <v>161</v>
      </c>
      <c r="T137" s="197">
        <v>5.3</v>
      </c>
    </row>
    <row r="138" spans="1:20" ht="15.75" customHeight="1">
      <c r="A138" s="185">
        <v>36</v>
      </c>
      <c r="B138" s="186">
        <v>2</v>
      </c>
      <c r="C138" s="35"/>
      <c r="D138" s="132" t="s">
        <v>167</v>
      </c>
      <c r="E138" s="35"/>
      <c r="F138" s="35"/>
      <c r="G138" s="132">
        <v>5</v>
      </c>
      <c r="H138" s="132" t="s">
        <v>166</v>
      </c>
      <c r="I138" s="35"/>
      <c r="J138" s="35"/>
      <c r="K138" s="35"/>
      <c r="L138" s="35"/>
      <c r="M138" s="35"/>
      <c r="N138" s="35"/>
      <c r="O138" s="278">
        <v>365.78804499999995</v>
      </c>
      <c r="P138" s="278">
        <v>21.574629999999999</v>
      </c>
      <c r="Q138" s="35"/>
      <c r="R138" s="35"/>
      <c r="S138" s="132" t="s">
        <v>161</v>
      </c>
      <c r="T138" s="194">
        <v>5.2</v>
      </c>
    </row>
    <row r="139" spans="1:20" ht="15.75" customHeight="1">
      <c r="A139" s="185">
        <v>36</v>
      </c>
      <c r="B139" s="186">
        <v>3</v>
      </c>
      <c r="C139" s="35"/>
      <c r="D139" s="132" t="s">
        <v>167</v>
      </c>
      <c r="E139" s="35"/>
      <c r="F139" s="35"/>
      <c r="G139" s="132">
        <v>5</v>
      </c>
      <c r="H139" s="132" t="s">
        <v>166</v>
      </c>
      <c r="I139" s="35"/>
      <c r="J139" s="35"/>
      <c r="K139" s="35"/>
      <c r="L139" s="35"/>
      <c r="M139" s="35"/>
      <c r="N139" s="35"/>
      <c r="O139" s="278">
        <v>357.942725</v>
      </c>
      <c r="P139" s="278">
        <v>13.729309999999998</v>
      </c>
      <c r="Q139" s="35"/>
      <c r="R139" s="35"/>
      <c r="S139" s="132" t="s">
        <v>161</v>
      </c>
      <c r="T139" s="194">
        <v>4.3</v>
      </c>
    </row>
    <row r="140" spans="1:20" ht="15.75" customHeight="1">
      <c r="A140" s="185">
        <v>36</v>
      </c>
      <c r="B140" s="186">
        <v>4</v>
      </c>
      <c r="C140" s="35"/>
      <c r="D140" s="132" t="s">
        <v>167</v>
      </c>
      <c r="E140" s="35"/>
      <c r="F140" s="35"/>
      <c r="G140" s="132">
        <v>5</v>
      </c>
      <c r="H140" s="132" t="s">
        <v>166</v>
      </c>
      <c r="I140" s="35"/>
      <c r="J140" s="35"/>
      <c r="K140" s="35"/>
      <c r="L140" s="35"/>
      <c r="M140" s="35"/>
      <c r="N140" s="35"/>
      <c r="O140" s="278">
        <v>375.59469499999994</v>
      </c>
      <c r="P140" s="278">
        <v>11.76798</v>
      </c>
      <c r="Q140" s="35"/>
      <c r="R140" s="35"/>
      <c r="S140" s="132" t="s">
        <v>161</v>
      </c>
      <c r="T140" s="194">
        <v>3.4</v>
      </c>
    </row>
    <row r="141" spans="1:20" ht="15.75" customHeight="1">
      <c r="A141" s="185">
        <v>36</v>
      </c>
      <c r="B141" s="186">
        <v>5</v>
      </c>
      <c r="C141" s="35"/>
      <c r="D141" s="132" t="s">
        <v>167</v>
      </c>
      <c r="E141" s="35"/>
      <c r="F141" s="35"/>
      <c r="G141" s="132">
        <v>5</v>
      </c>
      <c r="H141" s="132" t="s">
        <v>166</v>
      </c>
      <c r="I141" s="35"/>
      <c r="J141" s="35"/>
      <c r="K141" s="35"/>
      <c r="L141" s="35"/>
      <c r="M141" s="35"/>
      <c r="N141" s="35"/>
      <c r="O141" s="278">
        <v>367.74937499999999</v>
      </c>
      <c r="P141" s="278">
        <v>12.748645</v>
      </c>
      <c r="Q141" s="35"/>
      <c r="R141" s="35"/>
      <c r="S141" s="132" t="s">
        <v>161</v>
      </c>
      <c r="T141" s="194">
        <v>2.9</v>
      </c>
    </row>
    <row r="142" spans="1:20" ht="15.75" customHeight="1">
      <c r="A142" s="185">
        <v>36</v>
      </c>
      <c r="B142" s="186">
        <v>6</v>
      </c>
      <c r="C142" s="35"/>
      <c r="D142" s="132" t="s">
        <v>167</v>
      </c>
      <c r="E142" s="35"/>
      <c r="F142" s="35"/>
      <c r="G142" s="132">
        <v>5</v>
      </c>
      <c r="H142" s="132" t="s">
        <v>166</v>
      </c>
      <c r="I142" s="35"/>
      <c r="J142" s="35"/>
      <c r="K142" s="35"/>
      <c r="L142" s="35"/>
      <c r="M142" s="35"/>
      <c r="N142" s="35"/>
      <c r="O142" s="278">
        <v>347.15540999999996</v>
      </c>
      <c r="P142" s="278">
        <v>23.535959999999999</v>
      </c>
      <c r="Q142" s="35"/>
      <c r="R142" s="35"/>
      <c r="S142" s="132" t="s">
        <v>161</v>
      </c>
      <c r="T142" s="194">
        <v>6.5</v>
      </c>
    </row>
    <row r="143" spans="1:20" ht="15.75" customHeight="1">
      <c r="A143" s="185">
        <v>36</v>
      </c>
      <c r="B143" s="186">
        <v>7</v>
      </c>
      <c r="C143" s="35"/>
      <c r="D143" s="132" t="s">
        <v>167</v>
      </c>
      <c r="E143" s="35"/>
      <c r="F143" s="35"/>
      <c r="G143" s="132">
        <v>5</v>
      </c>
      <c r="H143" s="132" t="s">
        <v>166</v>
      </c>
      <c r="I143" s="35"/>
      <c r="J143" s="35"/>
      <c r="K143" s="35"/>
      <c r="L143" s="35"/>
      <c r="M143" s="35"/>
      <c r="N143" s="35"/>
      <c r="O143" s="278">
        <v>305.96747999999997</v>
      </c>
      <c r="P143" s="278">
        <v>20.593965000000001</v>
      </c>
      <c r="Q143" s="35"/>
      <c r="R143" s="35"/>
      <c r="S143" s="132" t="s">
        <v>161</v>
      </c>
      <c r="T143" s="194">
        <v>6.9</v>
      </c>
    </row>
    <row r="144" spans="1:20" ht="15.75" customHeight="1">
      <c r="A144" s="185">
        <v>36</v>
      </c>
      <c r="B144" s="186">
        <v>8</v>
      </c>
      <c r="C144" s="35"/>
      <c r="D144" s="132" t="s">
        <v>167</v>
      </c>
      <c r="E144" s="35"/>
      <c r="F144" s="35"/>
      <c r="G144" s="132">
        <v>5</v>
      </c>
      <c r="H144" s="132" t="s">
        <v>166</v>
      </c>
      <c r="I144" s="35"/>
      <c r="J144" s="35"/>
      <c r="K144" s="35"/>
      <c r="L144" s="35"/>
      <c r="M144" s="35"/>
      <c r="N144" s="35"/>
      <c r="O144" s="278">
        <v>261.83755499999995</v>
      </c>
      <c r="P144" s="278">
        <v>16.671305</v>
      </c>
      <c r="Q144" s="35"/>
      <c r="R144" s="35"/>
      <c r="S144" s="132" t="s">
        <v>161</v>
      </c>
      <c r="T144" s="194">
        <v>7.2</v>
      </c>
    </row>
    <row r="145" spans="1:20" ht="15.75" customHeight="1" thickBot="1">
      <c r="A145" s="187">
        <v>36</v>
      </c>
      <c r="B145" s="188">
        <v>9</v>
      </c>
      <c r="C145" s="190"/>
      <c r="D145" s="189" t="s">
        <v>167</v>
      </c>
      <c r="E145" s="190"/>
      <c r="F145" s="190"/>
      <c r="G145" s="189">
        <v>5</v>
      </c>
      <c r="H145" s="189" t="s">
        <v>166</v>
      </c>
      <c r="I145" s="190"/>
      <c r="J145" s="190"/>
      <c r="K145" s="35"/>
      <c r="L145" s="35"/>
      <c r="M145" s="35"/>
      <c r="N145" s="190"/>
      <c r="O145" s="279">
        <v>202.99765499999998</v>
      </c>
      <c r="P145" s="279">
        <v>7.8453200000000001</v>
      </c>
      <c r="Q145" s="190"/>
      <c r="R145" s="190"/>
      <c r="S145" s="189" t="s">
        <v>161</v>
      </c>
      <c r="T145" s="196">
        <v>7.5</v>
      </c>
    </row>
    <row r="146" spans="1:20" ht="15.75" customHeight="1">
      <c r="A146" s="173">
        <v>37</v>
      </c>
      <c r="B146" s="184">
        <v>1</v>
      </c>
      <c r="C146" s="174"/>
      <c r="D146" s="132"/>
      <c r="E146" s="174"/>
      <c r="F146" s="174"/>
      <c r="G146" s="132">
        <v>10</v>
      </c>
      <c r="H146" s="132" t="s">
        <v>166</v>
      </c>
      <c r="I146" s="174"/>
      <c r="J146" s="174"/>
      <c r="K146" s="174">
        <v>50</v>
      </c>
      <c r="L146" s="174">
        <v>10</v>
      </c>
      <c r="M146" s="174">
        <v>0.3</v>
      </c>
      <c r="N146" s="174" t="s">
        <v>162</v>
      </c>
      <c r="O146" s="174">
        <v>3400</v>
      </c>
      <c r="P146" s="174">
        <v>37.6</v>
      </c>
      <c r="Q146" s="176"/>
      <c r="R146" s="176"/>
      <c r="S146" s="174" t="s">
        <v>161</v>
      </c>
      <c r="T146" s="197">
        <v>4.9000000000000004</v>
      </c>
    </row>
    <row r="147" spans="1:20" ht="15.75" customHeight="1">
      <c r="A147" s="185">
        <v>37</v>
      </c>
      <c r="B147" s="186">
        <v>2</v>
      </c>
      <c r="C147" s="132"/>
      <c r="D147" s="132"/>
      <c r="E147" s="132"/>
      <c r="F147" s="132"/>
      <c r="G147" s="132">
        <v>10</v>
      </c>
      <c r="H147" s="132" t="s">
        <v>166</v>
      </c>
      <c r="I147" s="132"/>
      <c r="J147" s="132"/>
      <c r="K147" s="132">
        <v>50</v>
      </c>
      <c r="L147" s="132">
        <v>10</v>
      </c>
      <c r="M147" s="132">
        <v>0.3</v>
      </c>
      <c r="N147" s="132" t="s">
        <v>162</v>
      </c>
      <c r="O147" s="132">
        <v>1200</v>
      </c>
      <c r="P147" s="132">
        <v>29.5</v>
      </c>
      <c r="Q147" s="35"/>
      <c r="R147" s="35"/>
      <c r="S147" s="132" t="s">
        <v>161</v>
      </c>
      <c r="T147" s="194">
        <v>75.599999999999994</v>
      </c>
    </row>
    <row r="148" spans="1:20" ht="15.75" customHeight="1" thickBot="1">
      <c r="A148" s="187">
        <v>37</v>
      </c>
      <c r="B148" s="188">
        <v>3</v>
      </c>
      <c r="C148" s="189"/>
      <c r="D148" s="189"/>
      <c r="E148" s="189"/>
      <c r="F148" s="189"/>
      <c r="G148" s="132">
        <v>10</v>
      </c>
      <c r="H148" s="132" t="s">
        <v>166</v>
      </c>
      <c r="I148" s="189"/>
      <c r="J148" s="189"/>
      <c r="K148" s="189">
        <v>50</v>
      </c>
      <c r="L148" s="189">
        <v>10</v>
      </c>
      <c r="M148" s="189">
        <v>0.3</v>
      </c>
      <c r="N148" s="189" t="s">
        <v>162</v>
      </c>
      <c r="O148" s="189">
        <v>600</v>
      </c>
      <c r="P148" s="189">
        <v>18.100000000000001</v>
      </c>
      <c r="Q148" s="190"/>
      <c r="R148" s="190"/>
      <c r="S148" s="189" t="s">
        <v>161</v>
      </c>
      <c r="T148" s="196">
        <v>87.2</v>
      </c>
    </row>
    <row r="149" spans="1:20" ht="15.75" customHeight="1">
      <c r="A149" s="173">
        <v>38</v>
      </c>
      <c r="B149" s="184">
        <v>1</v>
      </c>
      <c r="C149" s="212"/>
      <c r="D149" s="212"/>
      <c r="E149" s="212"/>
      <c r="F149" s="212"/>
      <c r="G149" s="212"/>
      <c r="H149" s="212"/>
      <c r="I149" s="212"/>
      <c r="J149" s="212"/>
      <c r="K149" s="213"/>
      <c r="L149" s="213"/>
      <c r="M149" s="213"/>
      <c r="N149" s="212"/>
      <c r="O149" s="212">
        <v>1120</v>
      </c>
      <c r="P149" s="174">
        <v>12.3</v>
      </c>
      <c r="Q149" s="176"/>
      <c r="R149" s="176"/>
      <c r="S149" s="174" t="s">
        <v>161</v>
      </c>
      <c r="T149" s="31"/>
    </row>
    <row r="150" spans="1:20" ht="15.75" customHeight="1">
      <c r="A150" s="185">
        <v>38</v>
      </c>
      <c r="B150" s="186">
        <v>2</v>
      </c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>
        <v>830</v>
      </c>
      <c r="P150" s="132">
        <v>13.7</v>
      </c>
      <c r="Q150" s="35"/>
      <c r="R150" s="35"/>
      <c r="S150" s="132" t="s">
        <v>161</v>
      </c>
      <c r="T150" s="36"/>
    </row>
    <row r="151" spans="1:20" ht="15.75" customHeight="1">
      <c r="A151" s="185">
        <v>38</v>
      </c>
      <c r="B151" s="186">
        <v>3</v>
      </c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>
        <v>870</v>
      </c>
      <c r="P151" s="132">
        <v>12.7</v>
      </c>
      <c r="Q151" s="35"/>
      <c r="R151" s="35"/>
      <c r="S151" s="132" t="s">
        <v>161</v>
      </c>
      <c r="T151" s="36"/>
    </row>
    <row r="152" spans="1:20" ht="15.75" customHeight="1">
      <c r="A152" s="185">
        <v>38</v>
      </c>
      <c r="B152" s="186">
        <v>4</v>
      </c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>
        <v>570</v>
      </c>
      <c r="P152" s="132">
        <v>12.2</v>
      </c>
      <c r="Q152" s="35"/>
      <c r="R152" s="35"/>
      <c r="S152" s="132" t="s">
        <v>161</v>
      </c>
      <c r="T152" s="36"/>
    </row>
    <row r="153" spans="1:20" ht="15.75" customHeight="1" thickBot="1">
      <c r="A153" s="187">
        <v>38</v>
      </c>
      <c r="B153" s="188">
        <v>5</v>
      </c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>
        <v>670</v>
      </c>
      <c r="P153" s="189">
        <v>13.2</v>
      </c>
      <c r="Q153" s="190"/>
      <c r="R153" s="190"/>
      <c r="S153" s="189" t="s">
        <v>161</v>
      </c>
      <c r="T153" s="38"/>
    </row>
    <row r="154" spans="1:20" ht="15.75" customHeight="1" thickBot="1">
      <c r="A154" s="32">
        <v>39</v>
      </c>
      <c r="B154" s="198">
        <v>1</v>
      </c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>
        <v>2610</v>
      </c>
      <c r="P154" s="183"/>
      <c r="Q154" s="177">
        <v>34.799999999999997</v>
      </c>
      <c r="R154" s="183"/>
      <c r="S154" s="177" t="s">
        <v>161</v>
      </c>
      <c r="T154" s="199">
        <v>2.6</v>
      </c>
    </row>
    <row r="155" spans="1:20" ht="15.75" customHeight="1">
      <c r="A155" s="193">
        <v>40</v>
      </c>
      <c r="B155" s="186">
        <v>1</v>
      </c>
      <c r="S155" s="174"/>
      <c r="T155" s="6"/>
    </row>
    <row r="156" spans="1:20" ht="15.75" customHeight="1">
      <c r="A156" s="193">
        <v>40</v>
      </c>
      <c r="B156" s="186">
        <v>2</v>
      </c>
      <c r="S156" s="132"/>
      <c r="T156" s="6"/>
    </row>
    <row r="157" spans="1:20" ht="15.75" customHeight="1" thickBot="1">
      <c r="A157" s="191">
        <v>40</v>
      </c>
      <c r="B157" s="188">
        <v>3</v>
      </c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89"/>
      <c r="T157" s="41"/>
    </row>
    <row r="158" spans="1:20" ht="15.75" customHeight="1">
      <c r="A158" s="193">
        <v>41</v>
      </c>
      <c r="B158" s="186">
        <v>1</v>
      </c>
      <c r="O158" s="202">
        <v>1252</v>
      </c>
      <c r="P158" s="229" t="s">
        <v>168</v>
      </c>
      <c r="R158" s="229" t="s">
        <v>168</v>
      </c>
      <c r="S158" s="174" t="s">
        <v>161</v>
      </c>
      <c r="T158" s="194">
        <v>2</v>
      </c>
    </row>
    <row r="159" spans="1:20" ht="15.75" customHeight="1">
      <c r="A159" s="193">
        <v>41</v>
      </c>
      <c r="B159" s="186">
        <v>2</v>
      </c>
      <c r="O159" s="202">
        <v>2884</v>
      </c>
      <c r="P159" s="229" t="s">
        <v>169</v>
      </c>
      <c r="R159" s="229" t="s">
        <v>169</v>
      </c>
      <c r="S159" s="132" t="s">
        <v>161</v>
      </c>
      <c r="T159" s="194">
        <v>2.1</v>
      </c>
    </row>
    <row r="160" spans="1:20" ht="15.75" customHeight="1">
      <c r="A160" s="193">
        <v>41</v>
      </c>
      <c r="B160" s="186">
        <v>3</v>
      </c>
      <c r="O160" s="202">
        <v>2632</v>
      </c>
      <c r="P160" s="229" t="s">
        <v>170</v>
      </c>
      <c r="R160" s="229" t="s">
        <v>170</v>
      </c>
      <c r="S160" s="132" t="s">
        <v>161</v>
      </c>
      <c r="T160" s="194">
        <v>2.2000000000000002</v>
      </c>
    </row>
    <row r="161" spans="1:20" ht="15.75" customHeight="1">
      <c r="A161" s="193">
        <v>41</v>
      </c>
      <c r="B161" s="186">
        <v>4</v>
      </c>
      <c r="O161" s="202">
        <v>2261</v>
      </c>
      <c r="P161" s="35" t="s">
        <v>171</v>
      </c>
      <c r="R161" s="35" t="s">
        <v>171</v>
      </c>
      <c r="S161" s="132" t="s">
        <v>161</v>
      </c>
      <c r="T161" s="194">
        <v>2.4</v>
      </c>
    </row>
    <row r="162" spans="1:20" ht="15.75" customHeight="1" thickBot="1">
      <c r="A162" s="191">
        <v>41</v>
      </c>
      <c r="B162" s="188">
        <v>5</v>
      </c>
      <c r="C162" s="195"/>
      <c r="D162" s="195"/>
      <c r="G162" s="195"/>
      <c r="H162" s="195"/>
      <c r="I162" s="195"/>
      <c r="J162" s="195"/>
      <c r="K162" s="195"/>
      <c r="L162" s="195"/>
      <c r="M162" s="195"/>
      <c r="N162" s="195"/>
      <c r="O162" s="216">
        <v>1897</v>
      </c>
      <c r="P162" s="190" t="s">
        <v>172</v>
      </c>
      <c r="Q162" s="195"/>
      <c r="R162" s="190" t="s">
        <v>172</v>
      </c>
      <c r="S162" s="189" t="s">
        <v>161</v>
      </c>
      <c r="T162" s="196">
        <v>2.5</v>
      </c>
    </row>
    <row r="163" spans="1:20" ht="15.75" customHeight="1">
      <c r="A163" s="193">
        <v>42</v>
      </c>
      <c r="B163" s="186">
        <v>1</v>
      </c>
      <c r="C163" s="132"/>
      <c r="D163" s="132"/>
      <c r="E163" s="174">
        <v>25</v>
      </c>
      <c r="F163" s="174" t="s">
        <v>165</v>
      </c>
      <c r="G163" s="132">
        <v>5</v>
      </c>
      <c r="H163" s="132" t="s">
        <v>166</v>
      </c>
      <c r="I163" s="132" t="s">
        <v>159</v>
      </c>
      <c r="J163" s="132"/>
      <c r="K163" s="132">
        <v>100</v>
      </c>
      <c r="L163" s="132">
        <v>6</v>
      </c>
      <c r="M163" s="132">
        <v>0.35</v>
      </c>
      <c r="N163" s="132" t="s">
        <v>162</v>
      </c>
      <c r="O163" s="132">
        <v>1510.4</v>
      </c>
      <c r="P163" s="132">
        <v>14</v>
      </c>
      <c r="Q163" s="35"/>
      <c r="R163" s="35"/>
      <c r="S163" s="132" t="s">
        <v>161</v>
      </c>
      <c r="T163" s="194">
        <v>2.5</v>
      </c>
    </row>
    <row r="164" spans="1:20" ht="15.75" customHeight="1">
      <c r="A164" s="193">
        <v>42</v>
      </c>
      <c r="B164" s="186">
        <v>2</v>
      </c>
      <c r="C164" s="132"/>
      <c r="D164" s="132"/>
      <c r="E164" s="132">
        <v>25</v>
      </c>
      <c r="F164" s="132" t="s">
        <v>165</v>
      </c>
      <c r="G164" s="132">
        <v>5</v>
      </c>
      <c r="H164" s="132" t="s">
        <v>166</v>
      </c>
      <c r="I164" s="132" t="s">
        <v>159</v>
      </c>
      <c r="J164" s="132"/>
      <c r="K164" s="132">
        <v>100</v>
      </c>
      <c r="L164" s="132">
        <v>6</v>
      </c>
      <c r="M164" s="132">
        <v>0.35</v>
      </c>
      <c r="N164" s="132" t="s">
        <v>162</v>
      </c>
      <c r="O164" s="132">
        <v>592.70000000000005</v>
      </c>
      <c r="P164" s="132">
        <v>7.5</v>
      </c>
      <c r="Q164" s="35"/>
      <c r="R164" s="35"/>
      <c r="S164" s="132" t="s">
        <v>161</v>
      </c>
      <c r="T164" s="194">
        <v>7.5</v>
      </c>
    </row>
    <row r="165" spans="1:20" ht="15.75" customHeight="1">
      <c r="A165" s="193">
        <v>42</v>
      </c>
      <c r="B165" s="186">
        <v>3</v>
      </c>
      <c r="C165" s="132"/>
      <c r="D165" s="132"/>
      <c r="E165" s="132">
        <v>25</v>
      </c>
      <c r="F165" s="132" t="s">
        <v>165</v>
      </c>
      <c r="G165" s="132">
        <v>5</v>
      </c>
      <c r="H165" s="132" t="s">
        <v>166</v>
      </c>
      <c r="I165" s="132" t="s">
        <v>159</v>
      </c>
      <c r="J165" s="132"/>
      <c r="K165" s="132">
        <v>100</v>
      </c>
      <c r="L165" s="132">
        <v>6</v>
      </c>
      <c r="M165" s="132">
        <v>0.35</v>
      </c>
      <c r="N165" s="132" t="s">
        <v>162</v>
      </c>
      <c r="O165" s="132">
        <v>374.1</v>
      </c>
      <c r="P165" s="132">
        <v>6.3</v>
      </c>
      <c r="Q165" s="35"/>
      <c r="R165" s="35"/>
      <c r="S165" s="132" t="s">
        <v>161</v>
      </c>
      <c r="T165" s="194">
        <v>6.3</v>
      </c>
    </row>
    <row r="166" spans="1:20" ht="15.75" customHeight="1">
      <c r="A166" s="193">
        <v>42</v>
      </c>
      <c r="B166" s="186">
        <v>4</v>
      </c>
      <c r="C166" s="132"/>
      <c r="D166" s="132"/>
      <c r="E166" s="132">
        <v>25</v>
      </c>
      <c r="F166" s="132" t="s">
        <v>165</v>
      </c>
      <c r="G166" s="132">
        <v>5</v>
      </c>
      <c r="H166" s="132" t="s">
        <v>166</v>
      </c>
      <c r="I166" s="132" t="s">
        <v>159</v>
      </c>
      <c r="J166" s="132"/>
      <c r="K166" s="132">
        <v>100</v>
      </c>
      <c r="L166" s="132">
        <v>6</v>
      </c>
      <c r="M166" s="132">
        <v>0.35</v>
      </c>
      <c r="N166" s="132" t="s">
        <v>162</v>
      </c>
      <c r="O166" s="132">
        <v>458.9</v>
      </c>
      <c r="P166" s="132">
        <v>5.0999999999999996</v>
      </c>
      <c r="Q166" s="35"/>
      <c r="R166" s="35"/>
      <c r="S166" s="132" t="s">
        <v>161</v>
      </c>
      <c r="T166" s="194">
        <v>5.0999999999999996</v>
      </c>
    </row>
    <row r="167" spans="1:20" ht="15.75" customHeight="1">
      <c r="A167" s="193">
        <v>42</v>
      </c>
      <c r="B167" s="186">
        <v>5</v>
      </c>
      <c r="C167" s="132"/>
      <c r="D167" s="132"/>
      <c r="E167" s="132">
        <v>25</v>
      </c>
      <c r="F167" s="132" t="s">
        <v>165</v>
      </c>
      <c r="G167" s="132">
        <v>5</v>
      </c>
      <c r="H167" s="132" t="s">
        <v>166</v>
      </c>
      <c r="I167" s="132" t="s">
        <v>159</v>
      </c>
      <c r="J167" s="132"/>
      <c r="K167" s="132">
        <v>100</v>
      </c>
      <c r="L167" s="132">
        <v>6</v>
      </c>
      <c r="M167" s="132">
        <v>0.35</v>
      </c>
      <c r="N167" s="132" t="s">
        <v>162</v>
      </c>
      <c r="O167" s="132">
        <v>402.8</v>
      </c>
      <c r="P167" s="132">
        <v>4.5</v>
      </c>
      <c r="Q167" s="35"/>
      <c r="R167" s="35"/>
      <c r="S167" s="132" t="s">
        <v>161</v>
      </c>
      <c r="T167" s="194">
        <v>4.5</v>
      </c>
    </row>
    <row r="168" spans="1:20" ht="15.75" customHeight="1">
      <c r="A168" s="193">
        <v>42</v>
      </c>
      <c r="B168" s="186">
        <v>6</v>
      </c>
      <c r="C168" s="132"/>
      <c r="D168" s="132"/>
      <c r="E168" s="132">
        <v>25</v>
      </c>
      <c r="F168" s="132" t="s">
        <v>165</v>
      </c>
      <c r="G168" s="132">
        <v>5</v>
      </c>
      <c r="H168" s="132" t="s">
        <v>166</v>
      </c>
      <c r="I168" s="132" t="s">
        <v>159</v>
      </c>
      <c r="J168" s="35"/>
      <c r="K168" s="132">
        <v>100</v>
      </c>
      <c r="L168" s="132">
        <v>6</v>
      </c>
      <c r="M168" s="132">
        <v>0.35</v>
      </c>
      <c r="N168" s="132" t="s">
        <v>162</v>
      </c>
      <c r="O168" s="35"/>
      <c r="P168" s="35"/>
      <c r="Q168" s="35"/>
      <c r="R168" s="35"/>
      <c r="S168" s="132"/>
      <c r="T168" s="36"/>
    </row>
    <row r="169" spans="1:20" ht="15.75" customHeight="1">
      <c r="A169" s="193">
        <v>42</v>
      </c>
      <c r="B169" s="186">
        <v>7</v>
      </c>
      <c r="C169" s="132"/>
      <c r="D169" s="132"/>
      <c r="E169" s="132">
        <v>25</v>
      </c>
      <c r="F169" s="132" t="s">
        <v>165</v>
      </c>
      <c r="G169" s="132">
        <v>5</v>
      </c>
      <c r="H169" s="132" t="s">
        <v>166</v>
      </c>
      <c r="I169" s="132" t="s">
        <v>159</v>
      </c>
      <c r="J169" s="132"/>
      <c r="K169" s="132">
        <v>100</v>
      </c>
      <c r="L169" s="132">
        <v>6</v>
      </c>
      <c r="M169" s="132">
        <v>0.35</v>
      </c>
      <c r="N169" s="132" t="s">
        <v>162</v>
      </c>
      <c r="O169" s="132">
        <v>592.70000000000005</v>
      </c>
      <c r="P169" s="132">
        <v>14.3</v>
      </c>
      <c r="Q169" s="35"/>
      <c r="R169" s="35"/>
      <c r="S169" s="132" t="s">
        <v>161</v>
      </c>
      <c r="T169" s="194">
        <v>3.9</v>
      </c>
    </row>
    <row r="170" spans="1:20" ht="15.75" customHeight="1">
      <c r="A170" s="193">
        <v>42</v>
      </c>
      <c r="B170" s="186">
        <v>8</v>
      </c>
      <c r="C170" s="132"/>
      <c r="D170" s="132"/>
      <c r="E170" s="132">
        <v>25</v>
      </c>
      <c r="F170" s="132" t="s">
        <v>165</v>
      </c>
      <c r="G170" s="132">
        <v>5</v>
      </c>
      <c r="H170" s="132" t="s">
        <v>166</v>
      </c>
      <c r="I170" s="132" t="s">
        <v>159</v>
      </c>
      <c r="J170" s="132"/>
      <c r="K170" s="132">
        <v>100</v>
      </c>
      <c r="L170" s="132">
        <v>6</v>
      </c>
      <c r="M170" s="132">
        <v>0.35</v>
      </c>
      <c r="N170" s="132" t="s">
        <v>162</v>
      </c>
      <c r="O170" s="132">
        <v>374.1</v>
      </c>
      <c r="P170" s="132">
        <v>10.199999999999999</v>
      </c>
      <c r="Q170" s="35"/>
      <c r="R170" s="35"/>
      <c r="S170" s="132" t="s">
        <v>161</v>
      </c>
      <c r="T170" s="194">
        <v>4.3</v>
      </c>
    </row>
    <row r="171" spans="1:20" ht="15.75" customHeight="1">
      <c r="A171" s="193">
        <v>42</v>
      </c>
      <c r="B171" s="186">
        <v>9</v>
      </c>
      <c r="C171" s="132"/>
      <c r="D171" s="132"/>
      <c r="E171" s="132">
        <v>25</v>
      </c>
      <c r="F171" s="132" t="s">
        <v>165</v>
      </c>
      <c r="G171" s="132">
        <v>5</v>
      </c>
      <c r="H171" s="132" t="s">
        <v>166</v>
      </c>
      <c r="I171" s="132" t="s">
        <v>159</v>
      </c>
      <c r="J171" s="132"/>
      <c r="K171" s="132">
        <v>100</v>
      </c>
      <c r="L171" s="132">
        <v>6</v>
      </c>
      <c r="M171" s="132">
        <v>0.35</v>
      </c>
      <c r="N171" s="132" t="s">
        <v>162</v>
      </c>
      <c r="O171" s="132">
        <v>458.9</v>
      </c>
      <c r="P171" s="132">
        <v>9.5</v>
      </c>
      <c r="Q171" s="35"/>
      <c r="R171" s="35"/>
      <c r="S171" s="132" t="s">
        <v>161</v>
      </c>
      <c r="T171" s="194">
        <v>5.4</v>
      </c>
    </row>
    <row r="172" spans="1:20" ht="15.75" customHeight="1" thickBot="1">
      <c r="A172" s="191">
        <v>42</v>
      </c>
      <c r="B172" s="188">
        <v>10</v>
      </c>
      <c r="C172" s="189"/>
      <c r="D172" s="189"/>
      <c r="E172" s="189">
        <v>25</v>
      </c>
      <c r="F172" s="189" t="s">
        <v>165</v>
      </c>
      <c r="G172" s="189">
        <v>5</v>
      </c>
      <c r="H172" s="189" t="s">
        <v>166</v>
      </c>
      <c r="I172" s="189" t="s">
        <v>159</v>
      </c>
      <c r="J172" s="189"/>
      <c r="K172" s="189">
        <v>100</v>
      </c>
      <c r="L172" s="189">
        <v>6</v>
      </c>
      <c r="M172" s="189">
        <v>0.35</v>
      </c>
      <c r="N172" s="189" t="s">
        <v>162</v>
      </c>
      <c r="O172" s="189">
        <v>402.8</v>
      </c>
      <c r="P172" s="189">
        <v>6.1</v>
      </c>
      <c r="Q172" s="190"/>
      <c r="R172" s="190"/>
      <c r="S172" s="189" t="s">
        <v>161</v>
      </c>
      <c r="T172" s="196">
        <v>5.2</v>
      </c>
    </row>
    <row r="173" spans="1:20" ht="15.75" customHeight="1">
      <c r="A173" s="193">
        <v>43</v>
      </c>
      <c r="B173" s="186">
        <v>1</v>
      </c>
      <c r="T173" s="6"/>
    </row>
    <row r="174" spans="1:20" ht="15.75" customHeight="1">
      <c r="A174" s="193">
        <v>43</v>
      </c>
      <c r="B174" s="186">
        <v>2</v>
      </c>
      <c r="T174" s="6"/>
    </row>
    <row r="175" spans="1:20" ht="15.75" customHeight="1">
      <c r="A175" s="193">
        <v>43</v>
      </c>
      <c r="B175" s="186">
        <v>3</v>
      </c>
      <c r="T175" s="6"/>
    </row>
    <row r="176" spans="1:20" ht="15.75" customHeight="1">
      <c r="A176" s="193">
        <v>43</v>
      </c>
      <c r="B176" s="186">
        <v>4</v>
      </c>
      <c r="T176" s="6"/>
    </row>
    <row r="177" spans="1:20" ht="15.75" customHeight="1">
      <c r="A177" s="193">
        <v>43</v>
      </c>
      <c r="B177" s="186">
        <v>5</v>
      </c>
      <c r="T177" s="6"/>
    </row>
    <row r="178" spans="1:20" ht="15.75" customHeight="1" thickBot="1">
      <c r="A178" s="191">
        <v>43</v>
      </c>
      <c r="B178" s="188">
        <v>6</v>
      </c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41"/>
    </row>
    <row r="179" spans="1:20" ht="15.75" customHeight="1">
      <c r="A179" s="193">
        <v>44</v>
      </c>
      <c r="B179" s="186">
        <v>1</v>
      </c>
      <c r="C179" s="132"/>
      <c r="D179" s="132" t="s">
        <v>173</v>
      </c>
      <c r="E179" s="132">
        <v>25</v>
      </c>
      <c r="F179" s="132" t="s">
        <v>165</v>
      </c>
      <c r="G179" s="132">
        <v>12.5</v>
      </c>
      <c r="H179" s="132" t="s">
        <v>166</v>
      </c>
      <c r="I179" s="132" t="s">
        <v>159</v>
      </c>
      <c r="J179" s="132"/>
      <c r="K179" s="132">
        <v>25</v>
      </c>
      <c r="L179" s="132">
        <v>10</v>
      </c>
      <c r="M179" s="132"/>
      <c r="N179" s="132" t="s">
        <v>162</v>
      </c>
      <c r="O179" s="132">
        <v>2613.5</v>
      </c>
      <c r="P179" s="132">
        <v>27.4</v>
      </c>
      <c r="Q179" s="35"/>
      <c r="R179" s="132">
        <v>27.4</v>
      </c>
      <c r="S179" s="132" t="s">
        <v>161</v>
      </c>
      <c r="T179" s="194">
        <v>1.37</v>
      </c>
    </row>
    <row r="180" spans="1:20" ht="15.75" customHeight="1">
      <c r="A180" s="193">
        <v>44</v>
      </c>
      <c r="B180" s="186">
        <v>2</v>
      </c>
      <c r="C180" s="132"/>
      <c r="D180" s="132" t="s">
        <v>174</v>
      </c>
      <c r="E180" s="132">
        <v>25</v>
      </c>
      <c r="F180" s="132" t="s">
        <v>165</v>
      </c>
      <c r="G180" s="132">
        <v>12.5</v>
      </c>
      <c r="H180" s="132" t="s">
        <v>166</v>
      </c>
      <c r="I180" s="132" t="s">
        <v>159</v>
      </c>
      <c r="J180" s="132"/>
      <c r="K180" s="132">
        <v>25</v>
      </c>
      <c r="L180" s="132">
        <v>10</v>
      </c>
      <c r="M180" s="132"/>
      <c r="N180" s="132" t="s">
        <v>162</v>
      </c>
      <c r="O180" s="132">
        <v>2684.9</v>
      </c>
      <c r="P180" s="132">
        <v>22.2</v>
      </c>
      <c r="Q180" s="35"/>
      <c r="R180" s="132">
        <v>22.2</v>
      </c>
      <c r="S180" s="132" t="s">
        <v>161</v>
      </c>
      <c r="T180" s="194">
        <v>1.0900000000000001</v>
      </c>
    </row>
    <row r="181" spans="1:20" ht="15.75" customHeight="1">
      <c r="A181" s="193">
        <v>44</v>
      </c>
      <c r="B181" s="186">
        <v>3</v>
      </c>
      <c r="C181" s="132"/>
      <c r="D181" s="132" t="s">
        <v>175</v>
      </c>
      <c r="E181" s="132">
        <v>25</v>
      </c>
      <c r="F181" s="132" t="s">
        <v>165</v>
      </c>
      <c r="G181" s="132">
        <v>12.5</v>
      </c>
      <c r="H181" s="132" t="s">
        <v>166</v>
      </c>
      <c r="I181" s="132" t="s">
        <v>159</v>
      </c>
      <c r="J181" s="132"/>
      <c r="K181" s="132">
        <v>25</v>
      </c>
      <c r="L181" s="132">
        <v>10</v>
      </c>
      <c r="M181" s="132"/>
      <c r="N181" s="132" t="s">
        <v>162</v>
      </c>
      <c r="O181" s="132">
        <v>2746.5</v>
      </c>
      <c r="P181" s="132">
        <v>21.6</v>
      </c>
      <c r="Q181" s="35"/>
      <c r="R181" s="132">
        <v>21.6</v>
      </c>
      <c r="S181" s="132" t="s">
        <v>161</v>
      </c>
      <c r="T181" s="194">
        <v>0.92</v>
      </c>
    </row>
    <row r="182" spans="1:20" ht="15.75" customHeight="1">
      <c r="A182" s="193">
        <v>44</v>
      </c>
      <c r="B182" s="186">
        <v>4</v>
      </c>
      <c r="C182" s="132"/>
      <c r="D182" s="132" t="s">
        <v>176</v>
      </c>
      <c r="E182" s="132">
        <v>25</v>
      </c>
      <c r="F182" s="132" t="s">
        <v>165</v>
      </c>
      <c r="G182" s="132">
        <v>12.5</v>
      </c>
      <c r="H182" s="132" t="s">
        <v>166</v>
      </c>
      <c r="I182" s="132" t="s">
        <v>159</v>
      </c>
      <c r="J182" s="132"/>
      <c r="K182" s="132">
        <v>25</v>
      </c>
      <c r="L182" s="132">
        <v>10</v>
      </c>
      <c r="M182" s="132"/>
      <c r="N182" s="132" t="s">
        <v>162</v>
      </c>
      <c r="O182" s="132">
        <v>2873.1</v>
      </c>
      <c r="P182" s="132">
        <v>20.100000000000001</v>
      </c>
      <c r="Q182" s="35"/>
      <c r="R182" s="132">
        <v>20.100000000000001</v>
      </c>
      <c r="S182" s="132" t="s">
        <v>161</v>
      </c>
      <c r="T182" s="194">
        <v>0.78</v>
      </c>
    </row>
    <row r="183" spans="1:20" ht="15.75" customHeight="1">
      <c r="A183" s="193">
        <v>44</v>
      </c>
      <c r="B183" s="186">
        <v>5</v>
      </c>
      <c r="C183" s="132"/>
      <c r="D183" s="132" t="s">
        <v>177</v>
      </c>
      <c r="E183" s="132">
        <v>25</v>
      </c>
      <c r="F183" s="132" t="s">
        <v>165</v>
      </c>
      <c r="G183" s="132">
        <v>12.5</v>
      </c>
      <c r="H183" s="132" t="s">
        <v>166</v>
      </c>
      <c r="I183" s="132" t="s">
        <v>159</v>
      </c>
      <c r="J183" s="132"/>
      <c r="K183" s="132">
        <v>25</v>
      </c>
      <c r="L183" s="132">
        <v>10</v>
      </c>
      <c r="M183" s="132"/>
      <c r="N183" s="132" t="s">
        <v>162</v>
      </c>
      <c r="O183" s="132">
        <v>2670.2</v>
      </c>
      <c r="P183" s="132">
        <v>27.3</v>
      </c>
      <c r="Q183" s="35"/>
      <c r="R183" s="132">
        <v>27.3</v>
      </c>
      <c r="S183" s="132" t="s">
        <v>161</v>
      </c>
      <c r="T183" s="194">
        <v>1.27</v>
      </c>
    </row>
    <row r="184" spans="1:20" ht="15.75" customHeight="1">
      <c r="A184" s="193">
        <v>44</v>
      </c>
      <c r="B184" s="186">
        <v>6</v>
      </c>
      <c r="C184" s="132"/>
      <c r="D184" s="132" t="s">
        <v>178</v>
      </c>
      <c r="E184" s="132">
        <v>25</v>
      </c>
      <c r="F184" s="132" t="s">
        <v>165</v>
      </c>
      <c r="G184" s="132">
        <v>12.5</v>
      </c>
      <c r="H184" s="132" t="s">
        <v>166</v>
      </c>
      <c r="I184" s="132" t="s">
        <v>159</v>
      </c>
      <c r="J184" s="132"/>
      <c r="K184" s="132">
        <v>25</v>
      </c>
      <c r="L184" s="132">
        <v>10</v>
      </c>
      <c r="M184" s="132"/>
      <c r="N184" s="132" t="s">
        <v>162</v>
      </c>
      <c r="O184" s="132">
        <v>2710.9</v>
      </c>
      <c r="P184" s="132">
        <v>27.6</v>
      </c>
      <c r="Q184" s="35"/>
      <c r="R184" s="132">
        <v>27.6</v>
      </c>
      <c r="S184" s="132" t="s">
        <v>161</v>
      </c>
      <c r="T184" s="194">
        <v>1.29</v>
      </c>
    </row>
    <row r="185" spans="1:20" ht="15.75" customHeight="1" thickBot="1">
      <c r="A185" s="191">
        <v>44</v>
      </c>
      <c r="B185" s="188">
        <v>7</v>
      </c>
      <c r="C185" s="189"/>
      <c r="D185" s="189" t="s">
        <v>179</v>
      </c>
      <c r="E185" s="189">
        <v>25</v>
      </c>
      <c r="F185" s="189" t="s">
        <v>165</v>
      </c>
      <c r="G185" s="189">
        <v>12.5</v>
      </c>
      <c r="H185" s="189" t="s">
        <v>166</v>
      </c>
      <c r="I185" s="189" t="s">
        <v>159</v>
      </c>
      <c r="J185" s="189"/>
      <c r="K185" s="189">
        <v>25</v>
      </c>
      <c r="L185" s="189">
        <v>10</v>
      </c>
      <c r="M185" s="189"/>
      <c r="N185" s="189" t="s">
        <v>162</v>
      </c>
      <c r="O185" s="189">
        <v>2863.1</v>
      </c>
      <c r="P185" s="189">
        <v>27.8</v>
      </c>
      <c r="Q185" s="190"/>
      <c r="R185" s="189">
        <v>27.8</v>
      </c>
      <c r="S185" s="189" t="s">
        <v>161</v>
      </c>
      <c r="T185" s="196">
        <v>0.91</v>
      </c>
    </row>
    <row r="186" spans="1:20" ht="15.75" customHeight="1">
      <c r="A186" s="193">
        <v>45</v>
      </c>
      <c r="B186" s="186">
        <v>1</v>
      </c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T186" s="6"/>
    </row>
    <row r="187" spans="1:20" ht="15.75" customHeight="1">
      <c r="A187" s="193">
        <v>45</v>
      </c>
      <c r="B187" s="186">
        <v>2</v>
      </c>
      <c r="T187" s="6"/>
    </row>
    <row r="188" spans="1:20" ht="15.75" customHeight="1" thickBot="1">
      <c r="A188" s="191">
        <v>45</v>
      </c>
      <c r="B188" s="188">
        <v>3</v>
      </c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41"/>
    </row>
    <row r="189" spans="1:20" ht="15.75" customHeight="1">
      <c r="A189" s="193">
        <v>46</v>
      </c>
      <c r="B189" s="186">
        <v>1</v>
      </c>
      <c r="C189" s="132"/>
      <c r="D189" s="132"/>
      <c r="E189" s="132">
        <v>25</v>
      </c>
      <c r="F189" s="132" t="s">
        <v>165</v>
      </c>
      <c r="G189" s="132">
        <v>10</v>
      </c>
      <c r="H189" s="132" t="s">
        <v>166</v>
      </c>
      <c r="I189" s="132" t="s">
        <v>159</v>
      </c>
      <c r="J189" s="35"/>
      <c r="K189" s="132">
        <v>32.5</v>
      </c>
      <c r="L189" s="132">
        <v>7</v>
      </c>
      <c r="M189" s="132">
        <v>1</v>
      </c>
      <c r="N189" s="132" t="s">
        <v>162</v>
      </c>
      <c r="O189" s="35">
        <v>388.27</v>
      </c>
      <c r="P189" s="35">
        <v>21.58</v>
      </c>
      <c r="Q189" s="35"/>
      <c r="R189" s="35">
        <v>21.58</v>
      </c>
      <c r="S189" s="132" t="s">
        <v>161</v>
      </c>
      <c r="T189" s="36">
        <v>4.83</v>
      </c>
    </row>
    <row r="190" spans="1:20" ht="15.75" customHeight="1">
      <c r="A190" s="193">
        <v>46</v>
      </c>
      <c r="B190" s="186">
        <v>2</v>
      </c>
      <c r="C190" s="132"/>
      <c r="D190" s="132"/>
      <c r="E190" s="132">
        <v>25</v>
      </c>
      <c r="F190" s="132" t="s">
        <v>165</v>
      </c>
      <c r="G190" s="132">
        <v>10</v>
      </c>
      <c r="H190" s="132" t="s">
        <v>166</v>
      </c>
      <c r="I190" s="132" t="s">
        <v>159</v>
      </c>
      <c r="J190" s="35"/>
      <c r="K190" s="132">
        <v>32.5</v>
      </c>
      <c r="L190" s="132">
        <v>7</v>
      </c>
      <c r="M190" s="132">
        <v>1</v>
      </c>
      <c r="N190" s="132" t="s">
        <v>162</v>
      </c>
      <c r="O190" s="35">
        <v>349.45</v>
      </c>
      <c r="P190" s="35">
        <v>21.3</v>
      </c>
      <c r="Q190" s="35"/>
      <c r="R190" s="35">
        <v>21.3</v>
      </c>
      <c r="S190" s="132" t="s">
        <v>161</v>
      </c>
      <c r="T190" s="36">
        <v>5.71</v>
      </c>
    </row>
    <row r="191" spans="1:20" ht="15.75" customHeight="1">
      <c r="A191" s="193">
        <v>46</v>
      </c>
      <c r="B191" s="186">
        <v>3</v>
      </c>
      <c r="C191" s="132"/>
      <c r="D191" s="132"/>
      <c r="E191" s="132">
        <v>25</v>
      </c>
      <c r="F191" s="132" t="s">
        <v>165</v>
      </c>
      <c r="G191" s="132">
        <v>10</v>
      </c>
      <c r="H191" s="132" t="s">
        <v>166</v>
      </c>
      <c r="I191" s="132" t="s">
        <v>159</v>
      </c>
      <c r="J191" s="35"/>
      <c r="K191" s="132">
        <v>32.5</v>
      </c>
      <c r="L191" s="132">
        <v>7</v>
      </c>
      <c r="M191" s="132">
        <v>1</v>
      </c>
      <c r="N191" s="132" t="s">
        <v>162</v>
      </c>
      <c r="O191" s="35">
        <v>291.60000000000002</v>
      </c>
      <c r="P191" s="35">
        <v>21.44</v>
      </c>
      <c r="Q191" s="35"/>
      <c r="R191" s="35">
        <v>21.44</v>
      </c>
      <c r="S191" s="132" t="s">
        <v>161</v>
      </c>
      <c r="T191" s="36">
        <v>6.78</v>
      </c>
    </row>
    <row r="192" spans="1:20" ht="15.75" customHeight="1">
      <c r="A192" s="193">
        <v>46</v>
      </c>
      <c r="B192" s="186">
        <v>4</v>
      </c>
      <c r="C192" s="132"/>
      <c r="D192" s="132"/>
      <c r="E192" s="132">
        <v>25</v>
      </c>
      <c r="F192" s="132" t="s">
        <v>165</v>
      </c>
      <c r="G192" s="132">
        <v>10</v>
      </c>
      <c r="H192" s="132" t="s">
        <v>166</v>
      </c>
      <c r="I192" s="132" t="s">
        <v>159</v>
      </c>
      <c r="J192" s="35"/>
      <c r="K192" s="132">
        <v>32.5</v>
      </c>
      <c r="L192" s="132">
        <v>7</v>
      </c>
      <c r="M192" s="132">
        <v>1</v>
      </c>
      <c r="N192" s="132" t="s">
        <v>162</v>
      </c>
      <c r="O192" s="35">
        <v>377.18</v>
      </c>
      <c r="P192" s="35">
        <v>29.29</v>
      </c>
      <c r="Q192" s="35"/>
      <c r="R192" s="35">
        <v>29.29</v>
      </c>
      <c r="S192" s="132" t="s">
        <v>161</v>
      </c>
      <c r="T192" s="36">
        <v>7.72</v>
      </c>
    </row>
    <row r="193" spans="1:20" ht="15.75" customHeight="1">
      <c r="A193" s="193">
        <v>46</v>
      </c>
      <c r="B193" s="186">
        <v>5</v>
      </c>
      <c r="C193" s="132"/>
      <c r="D193" s="132"/>
      <c r="E193" s="132">
        <v>25</v>
      </c>
      <c r="F193" s="132" t="s">
        <v>165</v>
      </c>
      <c r="G193" s="132">
        <v>10</v>
      </c>
      <c r="H193" s="132" t="s">
        <v>166</v>
      </c>
      <c r="I193" s="132" t="s">
        <v>159</v>
      </c>
      <c r="J193" s="35"/>
      <c r="K193" s="132">
        <v>32.5</v>
      </c>
      <c r="L193" s="132">
        <v>7</v>
      </c>
      <c r="M193" s="132">
        <v>1</v>
      </c>
      <c r="N193" s="132" t="s">
        <v>162</v>
      </c>
      <c r="O193" s="35">
        <v>348.65</v>
      </c>
      <c r="P193" s="35">
        <v>28.57</v>
      </c>
      <c r="Q193" s="35"/>
      <c r="R193" s="35">
        <v>28.57</v>
      </c>
      <c r="S193" s="132" t="s">
        <v>161</v>
      </c>
      <c r="T193" s="36">
        <v>7.69</v>
      </c>
    </row>
    <row r="194" spans="1:20" ht="15.75" customHeight="1" thickBot="1">
      <c r="A194" s="191">
        <v>46</v>
      </c>
      <c r="B194" s="188">
        <v>6</v>
      </c>
      <c r="C194" s="189"/>
      <c r="D194" s="189"/>
      <c r="E194" s="189">
        <v>25</v>
      </c>
      <c r="F194" s="189" t="s">
        <v>165</v>
      </c>
      <c r="G194" s="189">
        <v>10</v>
      </c>
      <c r="H194" s="189" t="s">
        <v>166</v>
      </c>
      <c r="I194" s="189" t="s">
        <v>159</v>
      </c>
      <c r="J194" s="190"/>
      <c r="K194" s="189">
        <v>32.5</v>
      </c>
      <c r="L194" s="189">
        <v>7</v>
      </c>
      <c r="M194" s="189">
        <v>1</v>
      </c>
      <c r="N194" s="189" t="s">
        <v>162</v>
      </c>
      <c r="O194" s="190">
        <v>311.41000000000003</v>
      </c>
      <c r="P194" s="190">
        <v>23.91</v>
      </c>
      <c r="Q194" s="190"/>
      <c r="R194" s="190">
        <v>23.91</v>
      </c>
      <c r="S194" s="189" t="s">
        <v>161</v>
      </c>
      <c r="T194" s="38">
        <v>6.99</v>
      </c>
    </row>
    <row r="195" spans="1:20" ht="15.75" customHeight="1">
      <c r="A195" s="193">
        <v>47</v>
      </c>
      <c r="B195" s="186">
        <v>1</v>
      </c>
      <c r="C195" s="132"/>
      <c r="D195" s="132"/>
      <c r="E195" s="132"/>
      <c r="F195" s="132"/>
      <c r="G195" s="132"/>
      <c r="H195" s="132"/>
      <c r="I195" s="132"/>
      <c r="T195" s="6"/>
    </row>
    <row r="196" spans="1:20" ht="15.75" customHeight="1">
      <c r="A196" s="193">
        <v>47</v>
      </c>
      <c r="B196" s="186">
        <v>2</v>
      </c>
      <c r="T196" s="6"/>
    </row>
    <row r="197" spans="1:20" ht="15.75" customHeight="1">
      <c r="A197" s="193">
        <v>47</v>
      </c>
      <c r="B197" s="186">
        <v>3</v>
      </c>
      <c r="T197" s="6"/>
    </row>
    <row r="198" spans="1:20" ht="15.75" customHeight="1">
      <c r="A198" s="193">
        <v>47</v>
      </c>
      <c r="B198" s="186">
        <v>4</v>
      </c>
      <c r="T198" s="6"/>
    </row>
    <row r="199" spans="1:20" ht="15.75" customHeight="1" thickBot="1">
      <c r="A199" s="191">
        <v>47</v>
      </c>
      <c r="B199" s="188">
        <v>5</v>
      </c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41"/>
    </row>
    <row r="200" spans="1:20" ht="15.75" customHeight="1">
      <c r="A200" s="193">
        <v>48</v>
      </c>
      <c r="B200" s="186">
        <v>1</v>
      </c>
      <c r="C200" s="132"/>
      <c r="D200" s="132"/>
      <c r="E200" s="132">
        <v>25</v>
      </c>
      <c r="F200" s="132" t="s">
        <v>165</v>
      </c>
      <c r="G200" s="132">
        <v>10</v>
      </c>
      <c r="H200" s="132" t="s">
        <v>166</v>
      </c>
      <c r="I200" s="132" t="s">
        <v>159</v>
      </c>
      <c r="J200" s="132"/>
      <c r="K200" s="132">
        <v>65</v>
      </c>
      <c r="L200" s="132">
        <v>10</v>
      </c>
      <c r="M200" s="132"/>
      <c r="N200" s="132" t="s">
        <v>162</v>
      </c>
      <c r="O200" s="132">
        <v>3800</v>
      </c>
      <c r="P200" s="132">
        <v>30.2</v>
      </c>
      <c r="T200" s="194">
        <v>4.9000000000000004</v>
      </c>
    </row>
    <row r="201" spans="1:20" ht="15.75" customHeight="1">
      <c r="A201" s="193">
        <v>48</v>
      </c>
      <c r="B201" s="186">
        <v>2</v>
      </c>
      <c r="C201" s="132"/>
      <c r="D201" s="132"/>
      <c r="E201" s="132">
        <v>25</v>
      </c>
      <c r="F201" s="132" t="s">
        <v>165</v>
      </c>
      <c r="G201" s="132">
        <v>10</v>
      </c>
      <c r="H201" s="132" t="s">
        <v>166</v>
      </c>
      <c r="I201" s="132" t="s">
        <v>159</v>
      </c>
      <c r="J201" s="132"/>
      <c r="K201" s="132">
        <v>65</v>
      </c>
      <c r="L201" s="132">
        <v>10</v>
      </c>
      <c r="M201" s="132"/>
      <c r="N201" s="132" t="s">
        <v>162</v>
      </c>
      <c r="O201" s="132">
        <v>1200</v>
      </c>
      <c r="P201" s="132">
        <v>26.5</v>
      </c>
      <c r="T201" s="194">
        <v>72.099999999999994</v>
      </c>
    </row>
    <row r="202" spans="1:20" ht="15.75" customHeight="1">
      <c r="A202" s="193">
        <v>48</v>
      </c>
      <c r="B202" s="186">
        <v>3</v>
      </c>
      <c r="C202" s="132"/>
      <c r="D202" s="132"/>
      <c r="E202" s="132">
        <v>25</v>
      </c>
      <c r="F202" s="132" t="s">
        <v>165</v>
      </c>
      <c r="G202" s="132">
        <v>10</v>
      </c>
      <c r="H202" s="132" t="s">
        <v>166</v>
      </c>
      <c r="I202" s="132" t="s">
        <v>159</v>
      </c>
      <c r="J202" s="132"/>
      <c r="K202" s="132">
        <v>65</v>
      </c>
      <c r="L202" s="132">
        <v>10</v>
      </c>
      <c r="M202" s="132"/>
      <c r="N202" s="132" t="s">
        <v>162</v>
      </c>
      <c r="O202" s="132">
        <v>800</v>
      </c>
      <c r="P202" s="132">
        <v>21.5</v>
      </c>
      <c r="T202" s="194">
        <v>85.1</v>
      </c>
    </row>
    <row r="203" spans="1:20" ht="15.75" customHeight="1">
      <c r="A203" s="193">
        <v>48</v>
      </c>
      <c r="B203" s="186">
        <v>4</v>
      </c>
      <c r="C203" s="132"/>
      <c r="D203" s="132"/>
      <c r="E203" s="132">
        <v>25</v>
      </c>
      <c r="F203" s="132" t="s">
        <v>165</v>
      </c>
      <c r="G203" s="132">
        <v>10</v>
      </c>
      <c r="H203" s="132" t="s">
        <v>166</v>
      </c>
      <c r="I203" s="132" t="s">
        <v>159</v>
      </c>
      <c r="J203" s="132"/>
      <c r="K203" s="132">
        <v>65</v>
      </c>
      <c r="L203" s="132">
        <v>10</v>
      </c>
      <c r="M203" s="132"/>
      <c r="N203" s="132" t="s">
        <v>162</v>
      </c>
      <c r="O203" s="132">
        <v>3500</v>
      </c>
      <c r="P203" s="132">
        <v>40</v>
      </c>
      <c r="T203" s="194">
        <v>5</v>
      </c>
    </row>
    <row r="204" spans="1:20" ht="15.75" customHeight="1">
      <c r="A204" s="193">
        <v>48</v>
      </c>
      <c r="B204" s="186">
        <v>5</v>
      </c>
      <c r="C204" s="132"/>
      <c r="D204" s="132"/>
      <c r="E204" s="132">
        <v>25</v>
      </c>
      <c r="F204" s="132" t="s">
        <v>165</v>
      </c>
      <c r="G204" s="132">
        <v>10</v>
      </c>
      <c r="H204" s="132" t="s">
        <v>166</v>
      </c>
      <c r="I204" s="132" t="s">
        <v>159</v>
      </c>
      <c r="J204" s="132"/>
      <c r="K204" s="132">
        <v>65</v>
      </c>
      <c r="L204" s="132">
        <v>10</v>
      </c>
      <c r="M204" s="132"/>
      <c r="N204" s="132" t="s">
        <v>162</v>
      </c>
      <c r="O204" s="132">
        <v>1500</v>
      </c>
      <c r="P204" s="132">
        <v>35</v>
      </c>
      <c r="T204" s="194">
        <v>20</v>
      </c>
    </row>
    <row r="205" spans="1:20" ht="15.75" customHeight="1" thickBot="1">
      <c r="A205" s="191">
        <v>48</v>
      </c>
      <c r="B205" s="188">
        <v>6</v>
      </c>
      <c r="C205" s="189"/>
      <c r="D205" s="189"/>
      <c r="E205" s="189">
        <v>25</v>
      </c>
      <c r="F205" s="189" t="s">
        <v>165</v>
      </c>
      <c r="G205" s="189">
        <v>10</v>
      </c>
      <c r="H205" s="189" t="s">
        <v>166</v>
      </c>
      <c r="I205" s="189" t="s">
        <v>159</v>
      </c>
      <c r="J205" s="189"/>
      <c r="K205" s="189">
        <v>65</v>
      </c>
      <c r="L205" s="189">
        <v>10</v>
      </c>
      <c r="M205" s="189"/>
      <c r="N205" s="189" t="s">
        <v>162</v>
      </c>
      <c r="O205" s="189">
        <v>700</v>
      </c>
      <c r="P205" s="189">
        <v>30</v>
      </c>
      <c r="Q205" s="195"/>
      <c r="R205" s="195"/>
      <c r="S205" s="195"/>
      <c r="T205" s="38"/>
    </row>
    <row r="206" spans="1:20" ht="15.75" customHeight="1">
      <c r="A206" s="193">
        <v>49</v>
      </c>
      <c r="B206" s="186">
        <v>1</v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132">
        <v>35</v>
      </c>
      <c r="P206" s="35"/>
      <c r="Q206" s="132">
        <v>4.5999999999999996</v>
      </c>
      <c r="R206" s="35"/>
      <c r="S206" s="174" t="s">
        <v>180</v>
      </c>
      <c r="T206" s="194">
        <v>5</v>
      </c>
    </row>
    <row r="207" spans="1:20" ht="15.75" customHeight="1">
      <c r="A207" s="193">
        <v>49</v>
      </c>
      <c r="B207" s="186">
        <v>2</v>
      </c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132">
        <v>12</v>
      </c>
      <c r="P207" s="35"/>
      <c r="Q207" s="132">
        <v>3.5</v>
      </c>
      <c r="R207" s="35"/>
      <c r="S207" s="132" t="s">
        <v>180</v>
      </c>
      <c r="T207" s="194">
        <v>3</v>
      </c>
    </row>
    <row r="208" spans="1:20" ht="15.75" customHeight="1">
      <c r="A208" s="193">
        <v>49</v>
      </c>
      <c r="B208" s="186">
        <v>3</v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132">
        <v>19</v>
      </c>
      <c r="P208" s="35"/>
      <c r="Q208" s="132">
        <v>2.5</v>
      </c>
      <c r="R208" s="35"/>
      <c r="S208" s="132" t="s">
        <v>180</v>
      </c>
      <c r="T208" s="194">
        <v>7</v>
      </c>
    </row>
    <row r="209" spans="1:20" ht="15.75" customHeight="1">
      <c r="A209" s="193">
        <v>49</v>
      </c>
      <c r="B209" s="186">
        <v>4</v>
      </c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132">
        <v>14</v>
      </c>
      <c r="P209" s="35"/>
      <c r="Q209" s="132">
        <v>1.5</v>
      </c>
      <c r="R209" s="35"/>
      <c r="S209" s="132" t="s">
        <v>180</v>
      </c>
      <c r="T209" s="194">
        <v>9.75</v>
      </c>
    </row>
    <row r="210" spans="1:20" ht="15.75" customHeight="1" thickBot="1">
      <c r="A210" s="193">
        <v>49</v>
      </c>
      <c r="B210" s="186">
        <v>5</v>
      </c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132">
        <v>13</v>
      </c>
      <c r="P210" s="35"/>
      <c r="Q210" s="132">
        <v>1.5</v>
      </c>
      <c r="R210" s="35"/>
      <c r="S210" s="132" t="s">
        <v>180</v>
      </c>
      <c r="T210" s="194">
        <v>9.75</v>
      </c>
    </row>
    <row r="211" spans="1:20" ht="15.75" customHeight="1">
      <c r="A211" s="173">
        <v>50</v>
      </c>
      <c r="B211" s="184">
        <v>1</v>
      </c>
      <c r="C211" s="174"/>
      <c r="D211" s="174"/>
      <c r="E211" s="174">
        <v>25</v>
      </c>
      <c r="F211" s="174" t="s">
        <v>165</v>
      </c>
      <c r="G211" s="174">
        <v>20</v>
      </c>
      <c r="H211" s="174" t="s">
        <v>166</v>
      </c>
      <c r="I211" s="174" t="s">
        <v>159</v>
      </c>
      <c r="J211" s="174"/>
      <c r="K211" s="174">
        <v>30</v>
      </c>
      <c r="L211" s="174">
        <v>10</v>
      </c>
      <c r="M211" s="174">
        <v>0.10290000000000001</v>
      </c>
      <c r="N211" s="174" t="s">
        <v>162</v>
      </c>
      <c r="O211" s="174">
        <v>1180</v>
      </c>
      <c r="P211" s="174">
        <v>210.9</v>
      </c>
      <c r="Q211" s="176"/>
      <c r="R211" s="176"/>
      <c r="S211" s="174" t="s">
        <v>161</v>
      </c>
      <c r="T211" s="197">
        <v>49.5</v>
      </c>
    </row>
    <row r="212" spans="1:20" ht="15.75" customHeight="1">
      <c r="A212" s="185">
        <v>50</v>
      </c>
      <c r="B212" s="186">
        <v>2</v>
      </c>
      <c r="C212" s="132"/>
      <c r="D212" s="132"/>
      <c r="E212" s="132">
        <v>25</v>
      </c>
      <c r="F212" s="132" t="s">
        <v>165</v>
      </c>
      <c r="G212" s="132">
        <v>20</v>
      </c>
      <c r="H212" s="132" t="s">
        <v>166</v>
      </c>
      <c r="I212" s="132" t="s">
        <v>159</v>
      </c>
      <c r="J212" s="132"/>
      <c r="K212" s="132">
        <v>30</v>
      </c>
      <c r="L212" s="132">
        <v>10</v>
      </c>
      <c r="M212" s="132">
        <v>8.8599999999999998E-2</v>
      </c>
      <c r="N212" s="132" t="s">
        <v>162</v>
      </c>
      <c r="O212" s="132">
        <v>1260</v>
      </c>
      <c r="P212" s="132">
        <v>253.7</v>
      </c>
      <c r="Q212" s="35"/>
      <c r="R212" s="35"/>
      <c r="S212" s="132" t="s">
        <v>161</v>
      </c>
      <c r="T212" s="194">
        <v>30</v>
      </c>
    </row>
    <row r="213" spans="1:20" ht="15.75" customHeight="1">
      <c r="A213" s="185">
        <v>50</v>
      </c>
      <c r="B213" s="186">
        <v>3</v>
      </c>
      <c r="C213" s="132"/>
      <c r="D213" s="132"/>
      <c r="E213" s="132">
        <v>25</v>
      </c>
      <c r="F213" s="132" t="s">
        <v>165</v>
      </c>
      <c r="G213" s="132">
        <v>20</v>
      </c>
      <c r="H213" s="132" t="s">
        <v>166</v>
      </c>
      <c r="I213" s="132" t="s">
        <v>159</v>
      </c>
      <c r="J213" s="132"/>
      <c r="K213" s="132">
        <v>30</v>
      </c>
      <c r="L213" s="132">
        <v>10</v>
      </c>
      <c r="M213" s="132">
        <v>8.77E-2</v>
      </c>
      <c r="N213" s="132" t="s">
        <v>162</v>
      </c>
      <c r="O213" s="132">
        <v>1230</v>
      </c>
      <c r="P213" s="132">
        <v>245.9</v>
      </c>
      <c r="Q213" s="35"/>
      <c r="R213" s="35"/>
      <c r="S213" s="132" t="s">
        <v>161</v>
      </c>
      <c r="T213" s="194">
        <v>37.6</v>
      </c>
    </row>
    <row r="214" spans="1:20" ht="15.75" customHeight="1">
      <c r="A214" s="185">
        <v>50</v>
      </c>
      <c r="B214" s="186">
        <v>4</v>
      </c>
      <c r="C214" s="132"/>
      <c r="D214" s="132"/>
      <c r="E214" s="132">
        <v>25</v>
      </c>
      <c r="F214" s="132" t="s">
        <v>165</v>
      </c>
      <c r="G214" s="132">
        <v>20</v>
      </c>
      <c r="H214" s="132" t="s">
        <v>166</v>
      </c>
      <c r="I214" s="132" t="s">
        <v>159</v>
      </c>
      <c r="J214" s="132"/>
      <c r="K214" s="132">
        <v>30</v>
      </c>
      <c r="L214" s="132">
        <v>10</v>
      </c>
      <c r="M214" s="217">
        <v>8.3000000000000004E-2</v>
      </c>
      <c r="N214" s="132" t="s">
        <v>162</v>
      </c>
      <c r="O214" s="132">
        <v>900</v>
      </c>
      <c r="P214" s="132">
        <v>258.7</v>
      </c>
      <c r="Q214" s="35"/>
      <c r="R214" s="35"/>
      <c r="S214" s="132" t="s">
        <v>161</v>
      </c>
      <c r="T214" s="194">
        <v>49.4</v>
      </c>
    </row>
    <row r="215" spans="1:20" ht="15.75" customHeight="1" thickBot="1">
      <c r="A215" s="187">
        <v>50</v>
      </c>
      <c r="B215" s="188">
        <v>5</v>
      </c>
      <c r="C215" s="189"/>
      <c r="D215" s="189"/>
      <c r="E215" s="189">
        <v>25</v>
      </c>
      <c r="F215" s="189" t="s">
        <v>165</v>
      </c>
      <c r="G215" s="189">
        <v>20</v>
      </c>
      <c r="H215" s="189" t="s">
        <v>166</v>
      </c>
      <c r="I215" s="189" t="s">
        <v>159</v>
      </c>
      <c r="J215" s="189"/>
      <c r="K215" s="189">
        <v>30</v>
      </c>
      <c r="L215" s="189">
        <v>10</v>
      </c>
      <c r="M215" s="189">
        <v>9.2999999999999999E-2</v>
      </c>
      <c r="N215" s="189" t="s">
        <v>162</v>
      </c>
      <c r="O215" s="189">
        <v>1080</v>
      </c>
      <c r="P215" s="189">
        <v>201.2</v>
      </c>
      <c r="Q215" s="190"/>
      <c r="R215" s="190"/>
      <c r="S215" s="189" t="s">
        <v>161</v>
      </c>
      <c r="T215" s="196">
        <v>54.8</v>
      </c>
    </row>
    <row r="216" spans="1:20" ht="15.75" customHeight="1">
      <c r="A216" s="185">
        <v>51</v>
      </c>
      <c r="B216" s="186">
        <v>1</v>
      </c>
      <c r="C216" s="132"/>
      <c r="D216" s="132"/>
      <c r="E216" s="132"/>
      <c r="F216" s="132"/>
      <c r="G216" s="132"/>
      <c r="H216" s="132"/>
      <c r="I216" s="132" t="s">
        <v>181</v>
      </c>
      <c r="J216" s="132">
        <v>951</v>
      </c>
      <c r="K216" s="132"/>
      <c r="L216" s="132"/>
      <c r="M216" s="132"/>
      <c r="N216" s="132" t="s">
        <v>182</v>
      </c>
      <c r="O216" s="132">
        <v>54.7</v>
      </c>
      <c r="P216" s="132">
        <v>1.45</v>
      </c>
      <c r="Q216" s="35"/>
      <c r="R216" s="35"/>
      <c r="S216" s="132" t="s">
        <v>161</v>
      </c>
      <c r="T216" s="194">
        <v>9.6</v>
      </c>
    </row>
    <row r="217" spans="1:20" ht="15.75" customHeight="1">
      <c r="A217" s="185">
        <v>51</v>
      </c>
      <c r="B217" s="186">
        <v>2</v>
      </c>
      <c r="C217" s="132"/>
      <c r="D217" s="132"/>
      <c r="E217" s="132"/>
      <c r="F217" s="132"/>
      <c r="G217" s="132"/>
      <c r="H217" s="132"/>
      <c r="I217" s="132" t="s">
        <v>181</v>
      </c>
      <c r="J217" s="132">
        <v>724</v>
      </c>
      <c r="K217" s="132"/>
      <c r="L217" s="132"/>
      <c r="M217" s="132"/>
      <c r="N217" s="132" t="s">
        <v>182</v>
      </c>
      <c r="O217" s="132">
        <v>106.7</v>
      </c>
      <c r="P217" s="132">
        <v>4.37</v>
      </c>
      <c r="Q217" s="35"/>
      <c r="R217" s="35"/>
      <c r="S217" s="132" t="s">
        <v>161</v>
      </c>
      <c r="T217" s="194">
        <v>47.2</v>
      </c>
    </row>
    <row r="218" spans="1:20" ht="15.75" customHeight="1">
      <c r="A218" s="185">
        <v>51</v>
      </c>
      <c r="B218" s="186">
        <v>3</v>
      </c>
      <c r="C218" s="132"/>
      <c r="D218" s="132"/>
      <c r="E218" s="132"/>
      <c r="F218" s="132"/>
      <c r="G218" s="132"/>
      <c r="H218" s="132"/>
      <c r="I218" s="132" t="s">
        <v>181</v>
      </c>
      <c r="J218" s="132">
        <v>900</v>
      </c>
      <c r="K218" s="132"/>
      <c r="L218" s="132"/>
      <c r="M218" s="132"/>
      <c r="N218" s="132" t="s">
        <v>182</v>
      </c>
      <c r="O218" s="132">
        <v>84.6</v>
      </c>
      <c r="P218" s="132">
        <v>5.61</v>
      </c>
      <c r="Q218" s="35"/>
      <c r="R218" s="35"/>
      <c r="S218" s="132" t="s">
        <v>161</v>
      </c>
      <c r="T218" s="194">
        <v>93.5</v>
      </c>
    </row>
    <row r="219" spans="1:20" ht="15.75" customHeight="1">
      <c r="A219" s="185">
        <v>51</v>
      </c>
      <c r="B219" s="186">
        <v>4</v>
      </c>
      <c r="C219" s="132"/>
      <c r="D219" s="132"/>
      <c r="E219" s="132"/>
      <c r="F219" s="132"/>
      <c r="G219" s="132"/>
      <c r="H219" s="132"/>
      <c r="I219" s="132" t="s">
        <v>181</v>
      </c>
      <c r="J219" s="132">
        <v>903</v>
      </c>
      <c r="K219" s="132"/>
      <c r="L219" s="132"/>
      <c r="M219" s="132"/>
      <c r="N219" s="132" t="s">
        <v>182</v>
      </c>
      <c r="O219" s="132">
        <v>77.8</v>
      </c>
      <c r="P219" s="132">
        <v>4.8899999999999997</v>
      </c>
      <c r="Q219" s="35"/>
      <c r="R219" s="35"/>
      <c r="S219" s="132" t="s">
        <v>161</v>
      </c>
      <c r="T219" s="194">
        <v>44.7</v>
      </c>
    </row>
    <row r="220" spans="1:20" ht="15.75" customHeight="1">
      <c r="A220" s="185">
        <v>51</v>
      </c>
      <c r="B220" s="186">
        <v>5</v>
      </c>
      <c r="C220" s="132"/>
      <c r="D220" s="132"/>
      <c r="E220" s="132"/>
      <c r="F220" s="132"/>
      <c r="G220" s="132"/>
      <c r="H220" s="132"/>
      <c r="I220" s="132" t="s">
        <v>181</v>
      </c>
      <c r="J220" s="132">
        <v>413</v>
      </c>
      <c r="K220" s="132"/>
      <c r="L220" s="132"/>
      <c r="M220" s="132"/>
      <c r="N220" s="132" t="s">
        <v>182</v>
      </c>
      <c r="O220" s="132">
        <v>58.8</v>
      </c>
      <c r="P220" s="132">
        <v>2.76</v>
      </c>
      <c r="Q220" s="35"/>
      <c r="R220" s="35"/>
      <c r="S220" s="132" t="s">
        <v>161</v>
      </c>
      <c r="T220" s="194">
        <v>25.3</v>
      </c>
    </row>
    <row r="221" spans="1:20" ht="15.75" customHeight="1" thickBot="1">
      <c r="A221" s="187">
        <v>51</v>
      </c>
      <c r="B221" s="188">
        <v>6</v>
      </c>
      <c r="C221" s="132"/>
      <c r="D221" s="132"/>
      <c r="E221" s="132"/>
      <c r="F221" s="132"/>
      <c r="G221" s="132"/>
      <c r="H221" s="132"/>
      <c r="I221" s="132" t="s">
        <v>181</v>
      </c>
      <c r="J221" s="189">
        <v>653</v>
      </c>
      <c r="K221" s="189"/>
      <c r="L221" s="189"/>
      <c r="M221" s="189"/>
      <c r="N221" s="132" t="s">
        <v>182</v>
      </c>
      <c r="O221" s="189">
        <v>86.4</v>
      </c>
      <c r="P221" s="189">
        <v>3.64</v>
      </c>
      <c r="Q221" s="190"/>
      <c r="R221" s="190"/>
      <c r="S221" s="189" t="s">
        <v>161</v>
      </c>
      <c r="T221" s="196">
        <v>16.5</v>
      </c>
    </row>
    <row r="222" spans="1:20" ht="15.75" customHeight="1">
      <c r="A222" s="173">
        <v>52</v>
      </c>
      <c r="B222" s="184">
        <v>1</v>
      </c>
      <c r="C222" s="174"/>
      <c r="D222" s="174" t="s">
        <v>183</v>
      </c>
      <c r="E222" s="174"/>
      <c r="F222" s="174"/>
      <c r="G222" s="174">
        <v>10</v>
      </c>
      <c r="H222" s="174" t="s">
        <v>166</v>
      </c>
      <c r="I222" s="174" t="s">
        <v>159</v>
      </c>
      <c r="J222" s="174"/>
      <c r="K222" s="174">
        <v>10.16</v>
      </c>
      <c r="L222" s="174">
        <v>2.54</v>
      </c>
      <c r="M222" s="174"/>
      <c r="N222" s="174" t="s">
        <v>162</v>
      </c>
      <c r="O222" s="174">
        <v>472</v>
      </c>
      <c r="P222" s="174">
        <v>29</v>
      </c>
      <c r="Q222" s="176"/>
      <c r="R222" s="176"/>
      <c r="S222" s="174" t="s">
        <v>161</v>
      </c>
      <c r="T222" s="197">
        <v>17.399999999999999</v>
      </c>
    </row>
    <row r="223" spans="1:20" ht="15.75" customHeight="1">
      <c r="A223" s="185">
        <v>52</v>
      </c>
      <c r="B223" s="186">
        <v>2</v>
      </c>
      <c r="C223" s="132"/>
      <c r="D223" s="132" t="s">
        <v>184</v>
      </c>
      <c r="E223" s="132"/>
      <c r="F223" s="132"/>
      <c r="G223" s="132">
        <v>10</v>
      </c>
      <c r="H223" s="132" t="s">
        <v>166</v>
      </c>
      <c r="I223" s="132" t="s">
        <v>159</v>
      </c>
      <c r="J223" s="132"/>
      <c r="K223" s="132">
        <v>10.16</v>
      </c>
      <c r="L223" s="132">
        <v>2.54</v>
      </c>
      <c r="M223" s="132"/>
      <c r="N223" s="132" t="s">
        <v>162</v>
      </c>
      <c r="O223" s="132">
        <v>286</v>
      </c>
      <c r="P223" s="132">
        <v>28.7</v>
      </c>
      <c r="Q223" s="35"/>
      <c r="R223" s="35"/>
      <c r="S223" s="132" t="s">
        <v>161</v>
      </c>
      <c r="T223" s="194"/>
    </row>
    <row r="224" spans="1:20" ht="15.75" customHeight="1">
      <c r="A224" s="185">
        <v>52</v>
      </c>
      <c r="B224" s="186">
        <v>3</v>
      </c>
      <c r="C224" s="132"/>
      <c r="D224" s="132" t="s">
        <v>185</v>
      </c>
      <c r="E224" s="132"/>
      <c r="F224" s="132"/>
      <c r="G224" s="132">
        <v>10</v>
      </c>
      <c r="H224" s="132" t="s">
        <v>166</v>
      </c>
      <c r="I224" s="132" t="s">
        <v>159</v>
      </c>
      <c r="J224" s="132"/>
      <c r="K224" s="132">
        <v>10.16</v>
      </c>
      <c r="L224" s="132">
        <v>2.54</v>
      </c>
      <c r="M224" s="132"/>
      <c r="N224" s="132" t="s">
        <v>162</v>
      </c>
      <c r="O224" s="132">
        <v>272</v>
      </c>
      <c r="P224" s="132">
        <v>19</v>
      </c>
      <c r="Q224" s="35"/>
      <c r="R224" s="35"/>
      <c r="S224" s="132" t="s">
        <v>161</v>
      </c>
      <c r="T224" s="194">
        <v>13.6</v>
      </c>
    </row>
    <row r="225" spans="1:20" ht="15.75" customHeight="1" thickBot="1">
      <c r="A225" s="187">
        <v>52</v>
      </c>
      <c r="B225" s="188">
        <v>4</v>
      </c>
      <c r="C225" s="190"/>
      <c r="D225" s="190"/>
      <c r="E225" s="190"/>
      <c r="F225" s="190"/>
      <c r="G225" s="190"/>
      <c r="H225" s="190"/>
      <c r="I225" s="190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38"/>
    </row>
    <row r="226" spans="1:20" ht="15.75" customHeight="1">
      <c r="A226" s="193">
        <v>53</v>
      </c>
      <c r="B226" s="186">
        <v>1</v>
      </c>
      <c r="T226" s="6"/>
    </row>
    <row r="227" spans="1:20" ht="15.75" customHeight="1">
      <c r="A227" s="193">
        <v>53</v>
      </c>
      <c r="B227" s="186">
        <v>2</v>
      </c>
      <c r="T227" s="6"/>
    </row>
    <row r="228" spans="1:20" ht="15.75" customHeight="1">
      <c r="A228" s="193">
        <v>53</v>
      </c>
      <c r="B228" s="186">
        <v>3</v>
      </c>
      <c r="T228" s="6"/>
    </row>
    <row r="229" spans="1:20" ht="15.75" customHeight="1">
      <c r="A229" s="193">
        <v>53</v>
      </c>
      <c r="B229" s="186">
        <v>4</v>
      </c>
      <c r="T229" s="36"/>
    </row>
    <row r="230" spans="1:20" ht="15.75" customHeight="1" thickBot="1">
      <c r="A230" s="191">
        <v>53</v>
      </c>
      <c r="B230" s="188">
        <v>5</v>
      </c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0"/>
      <c r="T230" s="38"/>
    </row>
    <row r="231" spans="1:20" ht="15.75" customHeight="1">
      <c r="A231" s="193">
        <v>54</v>
      </c>
      <c r="B231" s="186">
        <v>1</v>
      </c>
      <c r="C231" s="132" t="s">
        <v>186</v>
      </c>
      <c r="E231" s="132">
        <v>25</v>
      </c>
      <c r="F231" s="132" t="s">
        <v>165</v>
      </c>
      <c r="G231" s="132">
        <v>5</v>
      </c>
      <c r="H231" s="132" t="s">
        <v>166</v>
      </c>
      <c r="I231" s="35"/>
      <c r="J231" s="35"/>
      <c r="K231" s="132">
        <v>80</v>
      </c>
      <c r="L231" s="132">
        <v>10</v>
      </c>
      <c r="M231" s="132">
        <v>4</v>
      </c>
      <c r="N231" s="132" t="s">
        <v>162</v>
      </c>
      <c r="O231" s="132">
        <v>1871</v>
      </c>
      <c r="S231" s="132" t="s">
        <v>161</v>
      </c>
      <c r="T231" s="194">
        <v>9.6999999999999993</v>
      </c>
    </row>
    <row r="232" spans="1:20" ht="15.75" customHeight="1">
      <c r="A232" s="193">
        <v>54</v>
      </c>
      <c r="B232" s="186">
        <v>2</v>
      </c>
      <c r="C232" s="132" t="s">
        <v>186</v>
      </c>
      <c r="E232" s="132">
        <v>25</v>
      </c>
      <c r="F232" s="132" t="s">
        <v>165</v>
      </c>
      <c r="G232" s="132">
        <v>5</v>
      </c>
      <c r="H232" s="132" t="s">
        <v>166</v>
      </c>
      <c r="I232" s="35"/>
      <c r="J232" s="35"/>
      <c r="K232" s="132">
        <v>80</v>
      </c>
      <c r="L232" s="132">
        <v>10</v>
      </c>
      <c r="M232" s="132">
        <v>4</v>
      </c>
      <c r="N232" s="132" t="s">
        <v>162</v>
      </c>
      <c r="O232" s="132">
        <v>1407</v>
      </c>
      <c r="S232" s="132" t="s">
        <v>161</v>
      </c>
      <c r="T232" s="194">
        <v>12.8</v>
      </c>
    </row>
    <row r="233" spans="1:20" ht="15.75" customHeight="1">
      <c r="A233" s="193">
        <v>54</v>
      </c>
      <c r="B233" s="186">
        <v>3</v>
      </c>
      <c r="C233" s="132" t="s">
        <v>186</v>
      </c>
      <c r="E233" s="132">
        <v>25</v>
      </c>
      <c r="F233" s="132" t="s">
        <v>165</v>
      </c>
      <c r="G233" s="132">
        <v>5</v>
      </c>
      <c r="H233" s="132" t="s">
        <v>166</v>
      </c>
      <c r="I233" s="35"/>
      <c r="J233" s="35"/>
      <c r="K233" s="132">
        <v>80</v>
      </c>
      <c r="L233" s="132">
        <v>10</v>
      </c>
      <c r="M233" s="132">
        <v>4</v>
      </c>
      <c r="N233" s="132" t="s">
        <v>162</v>
      </c>
      <c r="O233" s="132">
        <v>1349</v>
      </c>
      <c r="S233" s="132" t="s">
        <v>161</v>
      </c>
      <c r="T233" s="194">
        <v>13.6</v>
      </c>
    </row>
    <row r="234" spans="1:20" ht="15.75" customHeight="1">
      <c r="A234" s="193">
        <v>54</v>
      </c>
      <c r="B234" s="186">
        <v>4</v>
      </c>
      <c r="C234" s="132" t="s">
        <v>186</v>
      </c>
      <c r="E234" s="132">
        <v>25</v>
      </c>
      <c r="F234" s="132" t="s">
        <v>165</v>
      </c>
      <c r="G234" s="132">
        <v>5</v>
      </c>
      <c r="H234" s="132" t="s">
        <v>166</v>
      </c>
      <c r="I234" s="35"/>
      <c r="J234" s="35"/>
      <c r="K234" s="132">
        <v>80</v>
      </c>
      <c r="L234" s="132">
        <v>10</v>
      </c>
      <c r="M234" s="132">
        <v>4</v>
      </c>
      <c r="N234" s="132" t="s">
        <v>162</v>
      </c>
      <c r="O234" s="132">
        <v>1534</v>
      </c>
      <c r="S234" s="132" t="s">
        <v>161</v>
      </c>
      <c r="T234" s="194">
        <v>9.1</v>
      </c>
    </row>
    <row r="235" spans="1:20" ht="15.75" customHeight="1">
      <c r="A235" s="193">
        <v>54</v>
      </c>
      <c r="B235" s="186">
        <v>5</v>
      </c>
      <c r="C235" s="132" t="s">
        <v>186</v>
      </c>
      <c r="E235" s="132">
        <v>25</v>
      </c>
      <c r="F235" s="132" t="s">
        <v>165</v>
      </c>
      <c r="G235" s="132">
        <v>5</v>
      </c>
      <c r="H235" s="132" t="s">
        <v>166</v>
      </c>
      <c r="I235" s="35"/>
      <c r="J235" s="35"/>
      <c r="K235" s="132">
        <v>80</v>
      </c>
      <c r="L235" s="132">
        <v>10</v>
      </c>
      <c r="M235" s="132">
        <v>4</v>
      </c>
      <c r="N235" s="132" t="s">
        <v>162</v>
      </c>
      <c r="O235" s="132">
        <v>1475</v>
      </c>
      <c r="S235" s="132" t="s">
        <v>161</v>
      </c>
      <c r="T235" s="194">
        <v>8.8000000000000007</v>
      </c>
    </row>
    <row r="236" spans="1:20" ht="15.75" customHeight="1">
      <c r="A236" s="193">
        <v>54</v>
      </c>
      <c r="B236" s="186">
        <v>6</v>
      </c>
      <c r="C236" s="132" t="s">
        <v>186</v>
      </c>
      <c r="E236" s="132">
        <v>25</v>
      </c>
      <c r="F236" s="132" t="s">
        <v>165</v>
      </c>
      <c r="G236" s="132">
        <v>5</v>
      </c>
      <c r="H236" s="132" t="s">
        <v>166</v>
      </c>
      <c r="I236" s="35"/>
      <c r="J236" s="35"/>
      <c r="K236" s="132">
        <v>80</v>
      </c>
      <c r="L236" s="132">
        <v>10</v>
      </c>
      <c r="M236" s="132">
        <v>4</v>
      </c>
      <c r="N236" s="132" t="s">
        <v>162</v>
      </c>
      <c r="O236" s="132">
        <v>1323</v>
      </c>
      <c r="S236" s="132" t="s">
        <v>161</v>
      </c>
      <c r="T236" s="194">
        <v>12</v>
      </c>
    </row>
    <row r="237" spans="1:20" ht="15.75" customHeight="1">
      <c r="A237" s="193">
        <v>54</v>
      </c>
      <c r="B237" s="186">
        <v>7</v>
      </c>
      <c r="C237" s="132" t="s">
        <v>186</v>
      </c>
      <c r="E237" s="132">
        <v>25</v>
      </c>
      <c r="F237" s="132" t="s">
        <v>165</v>
      </c>
      <c r="G237" s="132">
        <v>5</v>
      </c>
      <c r="H237" s="132" t="s">
        <v>166</v>
      </c>
      <c r="I237" s="35"/>
      <c r="J237" s="35"/>
      <c r="K237" s="132">
        <v>80</v>
      </c>
      <c r="L237" s="132">
        <v>10</v>
      </c>
      <c r="M237" s="132">
        <v>4</v>
      </c>
      <c r="N237" s="132" t="s">
        <v>162</v>
      </c>
      <c r="O237" s="132">
        <v>1328</v>
      </c>
      <c r="S237" s="132" t="s">
        <v>161</v>
      </c>
      <c r="T237" s="194">
        <v>8.1999999999999993</v>
      </c>
    </row>
    <row r="238" spans="1:20" ht="15.75" customHeight="1">
      <c r="A238" s="193">
        <v>54</v>
      </c>
      <c r="B238" s="186">
        <v>8</v>
      </c>
      <c r="C238" s="132" t="s">
        <v>186</v>
      </c>
      <c r="E238" s="132">
        <v>25</v>
      </c>
      <c r="F238" s="132" t="s">
        <v>165</v>
      </c>
      <c r="G238" s="132">
        <v>5</v>
      </c>
      <c r="H238" s="132" t="s">
        <v>166</v>
      </c>
      <c r="I238" s="35"/>
      <c r="J238" s="35"/>
      <c r="K238" s="132">
        <v>80</v>
      </c>
      <c r="L238" s="132">
        <v>10</v>
      </c>
      <c r="M238" s="132">
        <v>4</v>
      </c>
      <c r="N238" s="132" t="s">
        <v>162</v>
      </c>
      <c r="O238" s="132">
        <v>1393</v>
      </c>
      <c r="S238" s="132" t="s">
        <v>161</v>
      </c>
      <c r="T238" s="194">
        <v>8.4</v>
      </c>
    </row>
    <row r="239" spans="1:20" ht="15.75" customHeight="1" thickBot="1">
      <c r="A239" s="191">
        <v>54</v>
      </c>
      <c r="B239" s="188">
        <v>9</v>
      </c>
      <c r="C239" s="200" t="s">
        <v>186</v>
      </c>
      <c r="D239" s="195"/>
      <c r="E239" s="189">
        <v>25</v>
      </c>
      <c r="F239" s="189" t="s">
        <v>165</v>
      </c>
      <c r="G239" s="189">
        <v>5</v>
      </c>
      <c r="H239" s="189" t="s">
        <v>166</v>
      </c>
      <c r="I239" s="190"/>
      <c r="J239" s="190"/>
      <c r="K239" s="189">
        <v>80</v>
      </c>
      <c r="L239" s="189">
        <v>10</v>
      </c>
      <c r="M239" s="189">
        <v>4</v>
      </c>
      <c r="N239" s="189" t="s">
        <v>162</v>
      </c>
      <c r="O239" s="189">
        <v>1356</v>
      </c>
      <c r="P239" s="195"/>
      <c r="Q239" s="195"/>
      <c r="R239" s="195"/>
      <c r="S239" s="189" t="s">
        <v>161</v>
      </c>
      <c r="T239" s="196">
        <v>8.6</v>
      </c>
    </row>
    <row r="240" spans="1:20" ht="15.75" customHeight="1">
      <c r="A240" s="193">
        <v>55</v>
      </c>
      <c r="B240" s="186">
        <v>1</v>
      </c>
      <c r="C240" s="35"/>
      <c r="D240" s="35"/>
      <c r="E240" s="35"/>
      <c r="F240" s="35"/>
      <c r="G240" s="132">
        <v>10</v>
      </c>
      <c r="H240" s="132" t="s">
        <v>166</v>
      </c>
      <c r="I240" s="132" t="s">
        <v>159</v>
      </c>
      <c r="K240" s="132">
        <v>25</v>
      </c>
      <c r="L240" s="132">
        <v>3</v>
      </c>
      <c r="M240" s="35"/>
      <c r="N240" s="132" t="s">
        <v>162</v>
      </c>
      <c r="O240" s="132">
        <v>1009</v>
      </c>
      <c r="P240" s="35"/>
      <c r="Q240" s="35"/>
      <c r="R240" s="35"/>
      <c r="S240" s="132" t="s">
        <v>161</v>
      </c>
      <c r="T240" s="194">
        <v>11.4</v>
      </c>
    </row>
    <row r="241" spans="1:20" ht="15.75" customHeight="1">
      <c r="A241" s="193">
        <v>55</v>
      </c>
      <c r="B241" s="186">
        <v>2</v>
      </c>
      <c r="C241" s="35"/>
      <c r="D241" s="35"/>
      <c r="E241" s="35"/>
      <c r="F241" s="35"/>
      <c r="G241" s="35"/>
      <c r="H241" s="35"/>
      <c r="I241" s="35"/>
      <c r="K241" s="35"/>
      <c r="L241" s="35"/>
      <c r="M241" s="35"/>
      <c r="N241" s="35"/>
      <c r="O241" s="35"/>
      <c r="P241" s="35"/>
      <c r="Q241" s="35"/>
      <c r="R241" s="35"/>
      <c r="S241" s="132"/>
      <c r="T241" s="36"/>
    </row>
    <row r="242" spans="1:20" ht="15.75" customHeight="1">
      <c r="A242" s="193">
        <v>55</v>
      </c>
      <c r="B242" s="186">
        <v>3</v>
      </c>
      <c r="C242" s="35"/>
      <c r="D242" s="35"/>
      <c r="E242" s="35"/>
      <c r="F242" s="35"/>
      <c r="G242" s="35"/>
      <c r="H242" s="35"/>
      <c r="I242" s="35"/>
      <c r="K242" s="35"/>
      <c r="L242" s="35"/>
      <c r="M242" s="35"/>
      <c r="N242" s="35"/>
      <c r="O242" s="35"/>
      <c r="P242" s="35"/>
      <c r="Q242" s="35"/>
      <c r="R242" s="35"/>
      <c r="S242" s="132"/>
      <c r="T242" s="36"/>
    </row>
    <row r="243" spans="1:20" ht="15.75" customHeight="1">
      <c r="A243" s="193">
        <v>55</v>
      </c>
      <c r="B243" s="186">
        <v>4</v>
      </c>
      <c r="C243" s="35"/>
      <c r="D243" s="35"/>
      <c r="E243" s="35"/>
      <c r="F243" s="35"/>
      <c r="G243" s="35"/>
      <c r="H243" s="35"/>
      <c r="I243" s="35"/>
      <c r="K243" s="35"/>
      <c r="L243" s="35"/>
      <c r="M243" s="35"/>
      <c r="N243" s="35"/>
      <c r="O243" s="35"/>
      <c r="P243" s="35"/>
      <c r="Q243" s="35"/>
      <c r="R243" s="35"/>
      <c r="S243" s="132"/>
      <c r="T243" s="36"/>
    </row>
    <row r="244" spans="1:20" ht="15.75" customHeight="1">
      <c r="A244" s="193">
        <v>55</v>
      </c>
      <c r="B244" s="186">
        <v>5</v>
      </c>
      <c r="C244" s="35"/>
      <c r="D244" s="35"/>
      <c r="E244" s="35"/>
      <c r="F244" s="35"/>
      <c r="G244" s="132">
        <v>10</v>
      </c>
      <c r="H244" s="132" t="s">
        <v>166</v>
      </c>
      <c r="I244" s="132" t="s">
        <v>159</v>
      </c>
      <c r="K244" s="132">
        <v>25</v>
      </c>
      <c r="L244" s="132">
        <v>3</v>
      </c>
      <c r="M244" s="35"/>
      <c r="N244" s="132" t="s">
        <v>162</v>
      </c>
      <c r="O244" s="132">
        <v>511</v>
      </c>
      <c r="P244" s="35"/>
      <c r="Q244" s="35"/>
      <c r="R244" s="35"/>
      <c r="S244" s="132" t="s">
        <v>161</v>
      </c>
      <c r="T244" s="194">
        <v>10</v>
      </c>
    </row>
    <row r="245" spans="1:20" ht="15.75" customHeight="1">
      <c r="A245" s="193">
        <v>55</v>
      </c>
      <c r="B245" s="186">
        <v>6</v>
      </c>
      <c r="C245" s="35"/>
      <c r="D245" s="35"/>
      <c r="E245" s="35"/>
      <c r="F245" s="35"/>
      <c r="G245" s="132">
        <v>10</v>
      </c>
      <c r="H245" s="132" t="s">
        <v>166</v>
      </c>
      <c r="I245" s="132" t="s">
        <v>159</v>
      </c>
      <c r="K245" s="132">
        <v>25</v>
      </c>
      <c r="L245" s="132">
        <v>3</v>
      </c>
      <c r="M245" s="35"/>
      <c r="N245" s="132" t="s">
        <v>162</v>
      </c>
      <c r="O245" s="132">
        <v>493</v>
      </c>
      <c r="P245" s="35"/>
      <c r="Q245" s="35"/>
      <c r="R245" s="35"/>
      <c r="S245" s="132" t="s">
        <v>161</v>
      </c>
      <c r="T245" s="194">
        <v>6.4</v>
      </c>
    </row>
    <row r="246" spans="1:20" ht="15.75" customHeight="1" thickBot="1">
      <c r="A246" s="191">
        <v>55</v>
      </c>
      <c r="B246" s="188">
        <v>7</v>
      </c>
      <c r="C246" s="190"/>
      <c r="D246" s="190"/>
      <c r="E246" s="190"/>
      <c r="F246" s="190"/>
      <c r="G246" s="189">
        <v>10</v>
      </c>
      <c r="H246" s="189" t="s">
        <v>166</v>
      </c>
      <c r="I246" s="189" t="s">
        <v>159</v>
      </c>
      <c r="J246" s="195"/>
      <c r="K246" s="189">
        <v>25</v>
      </c>
      <c r="L246" s="189">
        <v>3</v>
      </c>
      <c r="M246" s="190"/>
      <c r="N246" s="189" t="s">
        <v>162</v>
      </c>
      <c r="O246" s="189">
        <v>390</v>
      </c>
      <c r="P246" s="190"/>
      <c r="Q246" s="190"/>
      <c r="R246" s="190"/>
      <c r="S246" s="189" t="s">
        <v>161</v>
      </c>
      <c r="T246" s="196">
        <v>4.8</v>
      </c>
    </row>
    <row r="247" spans="1:20" ht="15.75" customHeight="1">
      <c r="A247" s="193">
        <v>56</v>
      </c>
      <c r="B247" s="186">
        <v>1</v>
      </c>
      <c r="C247" s="132"/>
      <c r="D247" s="132" t="s">
        <v>183</v>
      </c>
      <c r="E247" s="132"/>
      <c r="F247" s="132"/>
      <c r="G247" s="132">
        <v>1</v>
      </c>
      <c r="H247" s="132" t="s">
        <v>166</v>
      </c>
      <c r="I247" s="132" t="s">
        <v>159</v>
      </c>
      <c r="J247" s="132"/>
      <c r="K247" s="132"/>
      <c r="L247" s="132"/>
      <c r="M247" s="132"/>
      <c r="N247" s="132"/>
      <c r="O247" s="132">
        <v>2500</v>
      </c>
      <c r="P247" s="132">
        <v>18.5</v>
      </c>
      <c r="S247" s="132" t="s">
        <v>161</v>
      </c>
      <c r="T247" s="6"/>
    </row>
    <row r="248" spans="1:20" ht="15.75" customHeight="1">
      <c r="A248" s="193">
        <v>56</v>
      </c>
      <c r="B248" s="186">
        <v>2</v>
      </c>
      <c r="C248" s="132"/>
      <c r="D248" s="132" t="s">
        <v>183</v>
      </c>
      <c r="E248" s="132"/>
      <c r="F248" s="132"/>
      <c r="G248" s="132">
        <v>1</v>
      </c>
      <c r="H248" s="132" t="s">
        <v>166</v>
      </c>
      <c r="I248" s="132" t="s">
        <v>159</v>
      </c>
      <c r="J248" s="132"/>
      <c r="K248" s="132"/>
      <c r="L248" s="132"/>
      <c r="M248" s="132"/>
      <c r="N248" s="132"/>
      <c r="O248" s="132">
        <v>2600</v>
      </c>
      <c r="P248" s="132">
        <v>17.899999999999999</v>
      </c>
      <c r="S248" s="132" t="s">
        <v>161</v>
      </c>
      <c r="T248" s="6"/>
    </row>
    <row r="249" spans="1:20" ht="15.75" customHeight="1">
      <c r="A249" s="193">
        <v>56</v>
      </c>
      <c r="B249" s="186">
        <v>3</v>
      </c>
      <c r="C249" s="132"/>
      <c r="D249" s="132" t="s">
        <v>183</v>
      </c>
      <c r="E249" s="132"/>
      <c r="F249" s="132"/>
      <c r="G249" s="132">
        <v>1</v>
      </c>
      <c r="H249" s="132" t="s">
        <v>166</v>
      </c>
      <c r="I249" s="132" t="s">
        <v>159</v>
      </c>
      <c r="J249" s="132"/>
      <c r="K249" s="132"/>
      <c r="L249" s="132"/>
      <c r="M249" s="132"/>
      <c r="N249" s="132"/>
      <c r="O249" s="132">
        <v>3000</v>
      </c>
      <c r="P249" s="132">
        <v>20.8</v>
      </c>
      <c r="S249" s="132" t="s">
        <v>161</v>
      </c>
      <c r="T249" s="6"/>
    </row>
    <row r="250" spans="1:20" ht="15.75" customHeight="1">
      <c r="A250" s="193">
        <v>56</v>
      </c>
      <c r="B250" s="186">
        <v>4</v>
      </c>
      <c r="C250" s="132"/>
      <c r="D250" s="132" t="s">
        <v>183</v>
      </c>
      <c r="E250" s="132"/>
      <c r="F250" s="132"/>
      <c r="G250" s="132">
        <v>1</v>
      </c>
      <c r="H250" s="132" t="s">
        <v>166</v>
      </c>
      <c r="I250" s="132" t="s">
        <v>159</v>
      </c>
      <c r="J250" s="132"/>
      <c r="K250" s="132"/>
      <c r="L250" s="132"/>
      <c r="M250" s="132"/>
      <c r="N250" s="132"/>
      <c r="O250" s="132">
        <v>2800</v>
      </c>
      <c r="P250" s="132">
        <v>19</v>
      </c>
      <c r="S250" s="132" t="s">
        <v>161</v>
      </c>
      <c r="T250" s="6"/>
    </row>
    <row r="251" spans="1:20" ht="15.75" customHeight="1">
      <c r="A251" s="193">
        <v>56</v>
      </c>
      <c r="B251" s="186">
        <v>5</v>
      </c>
      <c r="C251" s="132"/>
      <c r="D251" s="132" t="s">
        <v>183</v>
      </c>
      <c r="E251" s="132"/>
      <c r="F251" s="132"/>
      <c r="G251" s="132">
        <v>1</v>
      </c>
      <c r="H251" s="132" t="s">
        <v>166</v>
      </c>
      <c r="I251" s="132" t="s">
        <v>159</v>
      </c>
      <c r="J251" s="132"/>
      <c r="K251" s="132"/>
      <c r="L251" s="132"/>
      <c r="M251" s="132"/>
      <c r="N251" s="132"/>
      <c r="O251" s="132">
        <v>4000</v>
      </c>
      <c r="P251" s="132">
        <v>22.6</v>
      </c>
      <c r="S251" s="132" t="s">
        <v>161</v>
      </c>
      <c r="T251" s="6"/>
    </row>
    <row r="252" spans="1:20" ht="15.75" customHeight="1">
      <c r="A252" s="193">
        <v>56</v>
      </c>
      <c r="B252" s="186">
        <v>6</v>
      </c>
      <c r="C252" s="132"/>
      <c r="D252" s="132" t="s">
        <v>183</v>
      </c>
      <c r="E252" s="132"/>
      <c r="F252" s="132"/>
      <c r="G252" s="132">
        <v>1</v>
      </c>
      <c r="H252" s="132" t="s">
        <v>166</v>
      </c>
      <c r="I252" s="132" t="s">
        <v>159</v>
      </c>
      <c r="J252" s="132"/>
      <c r="K252" s="132"/>
      <c r="L252" s="132"/>
      <c r="M252" s="132"/>
      <c r="N252" s="132"/>
      <c r="O252" s="132">
        <v>3300</v>
      </c>
      <c r="P252" s="132">
        <v>17.899999999999999</v>
      </c>
      <c r="S252" s="132" t="s">
        <v>161</v>
      </c>
      <c r="T252" s="6"/>
    </row>
    <row r="253" spans="1:20" ht="15.75" customHeight="1" thickBot="1">
      <c r="A253" s="191">
        <v>56</v>
      </c>
      <c r="B253" s="188">
        <v>7</v>
      </c>
      <c r="C253" s="189"/>
      <c r="D253" s="189" t="s">
        <v>183</v>
      </c>
      <c r="E253" s="189"/>
      <c r="F253" s="189"/>
      <c r="G253" s="189">
        <v>1</v>
      </c>
      <c r="H253" s="189" t="s">
        <v>166</v>
      </c>
      <c r="I253" s="189" t="s">
        <v>159</v>
      </c>
      <c r="J253" s="189"/>
      <c r="K253" s="189"/>
      <c r="L253" s="189"/>
      <c r="M253" s="189"/>
      <c r="N253" s="189"/>
      <c r="O253" s="189">
        <v>3400</v>
      </c>
      <c r="P253" s="189">
        <v>18.2</v>
      </c>
      <c r="Q253" s="195"/>
      <c r="R253" s="195"/>
      <c r="S253" s="189" t="s">
        <v>161</v>
      </c>
      <c r="T253" s="41"/>
    </row>
    <row r="254" spans="1:20" ht="15.75" customHeight="1">
      <c r="A254" s="193">
        <v>57</v>
      </c>
      <c r="B254" s="186">
        <v>1</v>
      </c>
      <c r="D254" s="132" t="s">
        <v>183</v>
      </c>
      <c r="G254" s="132">
        <v>10</v>
      </c>
      <c r="H254" s="132" t="s">
        <v>166</v>
      </c>
      <c r="I254" s="132" t="s">
        <v>159</v>
      </c>
      <c r="O254" s="132">
        <v>2394</v>
      </c>
      <c r="P254" s="132">
        <v>14.1</v>
      </c>
      <c r="R254" s="132">
        <v>14.1</v>
      </c>
      <c r="S254" s="132" t="s">
        <v>161</v>
      </c>
      <c r="T254" s="218">
        <v>1.01</v>
      </c>
    </row>
    <row r="255" spans="1:20" ht="15.75" customHeight="1">
      <c r="A255" s="193">
        <v>57</v>
      </c>
      <c r="B255" s="186">
        <v>2</v>
      </c>
      <c r="D255" s="132"/>
      <c r="G255" s="132"/>
      <c r="H255" s="132"/>
      <c r="T255" s="6"/>
    </row>
    <row r="256" spans="1:20" ht="15.75" customHeight="1">
      <c r="A256" s="193">
        <v>57</v>
      </c>
      <c r="B256" s="186">
        <v>3</v>
      </c>
      <c r="D256" s="132"/>
      <c r="G256" s="132"/>
      <c r="H256" s="132"/>
      <c r="T256" s="6"/>
    </row>
    <row r="257" spans="1:20" ht="15.75" customHeight="1">
      <c r="A257" s="193">
        <v>57</v>
      </c>
      <c r="B257" s="186">
        <v>4</v>
      </c>
      <c r="D257" s="132"/>
      <c r="G257" s="132"/>
      <c r="H257" s="132"/>
      <c r="T257" s="6"/>
    </row>
    <row r="258" spans="1:20" ht="15.75" customHeight="1">
      <c r="A258" s="193">
        <v>57</v>
      </c>
      <c r="B258" s="186">
        <v>5</v>
      </c>
      <c r="D258" s="132"/>
      <c r="T258" s="6"/>
    </row>
    <row r="259" spans="1:20" ht="15.75" customHeight="1">
      <c r="A259" s="193">
        <v>57</v>
      </c>
      <c r="B259" s="186">
        <v>6</v>
      </c>
      <c r="D259" s="132"/>
      <c r="T259" s="6"/>
    </row>
    <row r="260" spans="1:20" ht="15.75" customHeight="1" thickBot="1">
      <c r="A260" s="191">
        <v>57</v>
      </c>
      <c r="B260" s="188">
        <v>7</v>
      </c>
      <c r="C260" s="195"/>
      <c r="D260" s="189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41"/>
    </row>
    <row r="261" spans="1:20" ht="15.75" customHeight="1">
      <c r="A261" s="193">
        <v>58</v>
      </c>
      <c r="B261" s="186">
        <v>1</v>
      </c>
      <c r="C261" s="132"/>
      <c r="D261" s="132" t="s">
        <v>183</v>
      </c>
      <c r="E261" s="132">
        <v>25</v>
      </c>
      <c r="F261" s="132" t="s">
        <v>165</v>
      </c>
      <c r="G261" s="132">
        <v>5</v>
      </c>
      <c r="H261" s="132" t="s">
        <v>166</v>
      </c>
      <c r="I261" s="132" t="s">
        <v>159</v>
      </c>
      <c r="J261" s="132"/>
      <c r="K261" s="132">
        <v>165</v>
      </c>
      <c r="L261" s="132">
        <v>19</v>
      </c>
      <c r="M261" s="132"/>
      <c r="N261" s="132" t="s">
        <v>162</v>
      </c>
      <c r="O261" s="132">
        <v>900.4</v>
      </c>
      <c r="P261" s="132">
        <v>24.1</v>
      </c>
      <c r="Q261" s="35"/>
      <c r="R261" s="35"/>
      <c r="S261" s="132" t="s">
        <v>161</v>
      </c>
      <c r="T261" s="194">
        <v>5.5</v>
      </c>
    </row>
    <row r="262" spans="1:20" ht="15.75" customHeight="1">
      <c r="A262" s="193">
        <v>58</v>
      </c>
      <c r="B262" s="186">
        <v>2</v>
      </c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6"/>
    </row>
    <row r="263" spans="1:20" ht="15.75" customHeight="1">
      <c r="A263" s="193">
        <v>58</v>
      </c>
      <c r="B263" s="186">
        <v>3</v>
      </c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6"/>
    </row>
    <row r="264" spans="1:20" ht="15.75" customHeight="1">
      <c r="A264" s="193">
        <v>58</v>
      </c>
      <c r="B264" s="186">
        <v>4</v>
      </c>
      <c r="C264" s="35"/>
      <c r="D264" s="35" t="s">
        <v>183</v>
      </c>
      <c r="E264" s="35">
        <v>25</v>
      </c>
      <c r="F264" s="35" t="s">
        <v>165</v>
      </c>
      <c r="G264" s="35">
        <v>5</v>
      </c>
      <c r="H264" s="35" t="s">
        <v>166</v>
      </c>
      <c r="I264" s="35" t="s">
        <v>159</v>
      </c>
      <c r="J264" s="35"/>
      <c r="K264" s="35">
        <v>165</v>
      </c>
      <c r="L264" s="35">
        <v>19</v>
      </c>
      <c r="M264" s="35"/>
      <c r="N264" s="35" t="s">
        <v>162</v>
      </c>
      <c r="O264" s="35">
        <v>753.7</v>
      </c>
      <c r="P264" s="35">
        <v>7.6</v>
      </c>
      <c r="Q264" s="35"/>
      <c r="R264" s="35"/>
      <c r="S264" s="35" t="s">
        <v>161</v>
      </c>
      <c r="T264" s="36">
        <v>2.1</v>
      </c>
    </row>
    <row r="265" spans="1:20" ht="15.75" customHeight="1">
      <c r="A265" s="193">
        <v>59</v>
      </c>
      <c r="B265" s="186">
        <v>1</v>
      </c>
      <c r="T265" s="6"/>
    </row>
    <row r="266" spans="1:20" ht="15.75" customHeight="1">
      <c r="A266" s="193">
        <v>59</v>
      </c>
      <c r="B266" s="186">
        <v>2</v>
      </c>
      <c r="T266" s="6"/>
    </row>
    <row r="267" spans="1:20" ht="15.75" customHeight="1">
      <c r="A267" s="193">
        <v>59</v>
      </c>
      <c r="B267" s="186">
        <v>3</v>
      </c>
      <c r="T267" s="6"/>
    </row>
    <row r="268" spans="1:20" ht="15.75" customHeight="1" thickBot="1">
      <c r="A268" s="191">
        <v>59</v>
      </c>
      <c r="B268" s="188">
        <v>4</v>
      </c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41"/>
    </row>
    <row r="269" spans="1:20" ht="15.75" customHeight="1">
      <c r="A269" s="193">
        <v>60</v>
      </c>
      <c r="B269" s="186">
        <v>1</v>
      </c>
      <c r="C269" s="132"/>
      <c r="D269" s="132"/>
      <c r="E269" s="132"/>
      <c r="F269" s="132"/>
      <c r="G269" s="132">
        <v>10</v>
      </c>
      <c r="H269" s="132" t="s">
        <v>166</v>
      </c>
      <c r="I269" s="132" t="s">
        <v>159</v>
      </c>
      <c r="J269" s="132"/>
      <c r="K269" s="132">
        <v>210</v>
      </c>
      <c r="L269" s="132">
        <v>148</v>
      </c>
      <c r="M269" s="132"/>
      <c r="N269" s="132" t="s">
        <v>162</v>
      </c>
      <c r="O269" s="132">
        <v>337</v>
      </c>
      <c r="P269" s="132">
        <v>20</v>
      </c>
      <c r="S269" s="132" t="s">
        <v>161</v>
      </c>
      <c r="T269" s="194">
        <v>736</v>
      </c>
    </row>
    <row r="270" spans="1:20" ht="15.75" customHeight="1">
      <c r="A270" s="193">
        <v>60</v>
      </c>
      <c r="B270" s="186">
        <v>2</v>
      </c>
      <c r="C270" s="132"/>
      <c r="D270" s="132"/>
      <c r="E270" s="132"/>
      <c r="F270" s="132"/>
      <c r="G270" s="132">
        <v>10</v>
      </c>
      <c r="H270" s="132" t="s">
        <v>166</v>
      </c>
      <c r="I270" s="132" t="s">
        <v>159</v>
      </c>
      <c r="J270" s="132"/>
      <c r="K270" s="132">
        <v>210</v>
      </c>
      <c r="L270" s="132">
        <v>148</v>
      </c>
      <c r="M270" s="132"/>
      <c r="N270" s="132" t="s">
        <v>162</v>
      </c>
      <c r="O270" s="132">
        <v>319</v>
      </c>
      <c r="P270" s="132">
        <v>21</v>
      </c>
      <c r="S270" s="132" t="s">
        <v>161</v>
      </c>
      <c r="T270" s="194">
        <v>792</v>
      </c>
    </row>
    <row r="271" spans="1:20" ht="15.75" customHeight="1">
      <c r="A271" s="193">
        <v>60</v>
      </c>
      <c r="B271" s="186">
        <v>3</v>
      </c>
      <c r="C271" s="132"/>
      <c r="D271" s="132"/>
      <c r="E271" s="132"/>
      <c r="F271" s="132"/>
      <c r="G271" s="132">
        <v>10</v>
      </c>
      <c r="H271" s="132" t="s">
        <v>166</v>
      </c>
      <c r="I271" s="132" t="s">
        <v>159</v>
      </c>
      <c r="J271" s="132"/>
      <c r="K271" s="132">
        <v>210</v>
      </c>
      <c r="L271" s="132">
        <v>148</v>
      </c>
      <c r="M271" s="132"/>
      <c r="N271" s="132" t="s">
        <v>162</v>
      </c>
      <c r="O271" s="132">
        <v>237</v>
      </c>
      <c r="P271" s="132">
        <v>15</v>
      </c>
      <c r="S271" s="132" t="s">
        <v>161</v>
      </c>
      <c r="T271" s="194">
        <v>534</v>
      </c>
    </row>
    <row r="272" spans="1:20" ht="15.75" customHeight="1">
      <c r="A272" s="193">
        <v>60</v>
      </c>
      <c r="B272" s="186">
        <v>4</v>
      </c>
      <c r="C272" s="132"/>
      <c r="D272" s="132"/>
      <c r="E272" s="132"/>
      <c r="F272" s="132"/>
      <c r="G272" s="132">
        <v>10</v>
      </c>
      <c r="H272" s="132" t="s">
        <v>166</v>
      </c>
      <c r="I272" s="132" t="s">
        <v>159</v>
      </c>
      <c r="J272" s="132"/>
      <c r="K272" s="132">
        <v>210</v>
      </c>
      <c r="L272" s="132">
        <v>148</v>
      </c>
      <c r="M272" s="132"/>
      <c r="N272" s="132" t="s">
        <v>162</v>
      </c>
      <c r="O272" s="132">
        <v>286</v>
      </c>
      <c r="P272" s="132">
        <v>16</v>
      </c>
      <c r="S272" s="132" t="s">
        <v>161</v>
      </c>
      <c r="T272" s="194">
        <v>614</v>
      </c>
    </row>
    <row r="273" spans="1:20" ht="15.75" customHeight="1">
      <c r="A273" s="193">
        <v>60</v>
      </c>
      <c r="B273" s="186">
        <v>5</v>
      </c>
      <c r="C273" s="132"/>
      <c r="D273" s="132"/>
      <c r="E273" s="132"/>
      <c r="F273" s="132"/>
      <c r="G273" s="132">
        <v>10</v>
      </c>
      <c r="H273" s="132" t="s">
        <v>166</v>
      </c>
      <c r="I273" s="132" t="s">
        <v>159</v>
      </c>
      <c r="J273" s="132"/>
      <c r="K273" s="132">
        <v>210</v>
      </c>
      <c r="L273" s="132">
        <v>148</v>
      </c>
      <c r="M273" s="132"/>
      <c r="N273" s="132" t="s">
        <v>162</v>
      </c>
      <c r="O273" s="132">
        <v>634</v>
      </c>
      <c r="P273" s="132">
        <v>16</v>
      </c>
      <c r="S273" s="132" t="s">
        <v>161</v>
      </c>
      <c r="T273" s="194">
        <v>164</v>
      </c>
    </row>
    <row r="274" spans="1:20" ht="15.75" customHeight="1" thickBot="1">
      <c r="A274" s="191">
        <v>60</v>
      </c>
      <c r="B274" s="188">
        <v>6</v>
      </c>
      <c r="C274" s="189"/>
      <c r="D274" s="189"/>
      <c r="E274" s="189"/>
      <c r="F274" s="189"/>
      <c r="G274" s="189">
        <v>10</v>
      </c>
      <c r="H274" s="189" t="s">
        <v>166</v>
      </c>
      <c r="I274" s="189" t="s">
        <v>159</v>
      </c>
      <c r="J274" s="189"/>
      <c r="K274" s="189">
        <v>210</v>
      </c>
      <c r="L274" s="189">
        <v>148</v>
      </c>
      <c r="M274" s="189"/>
      <c r="N274" s="189" t="s">
        <v>162</v>
      </c>
      <c r="O274" s="189">
        <v>995</v>
      </c>
      <c r="P274" s="189">
        <v>25</v>
      </c>
      <c r="Q274" s="195"/>
      <c r="R274" s="195"/>
      <c r="S274" s="189" t="s">
        <v>161</v>
      </c>
      <c r="T274" s="196">
        <v>172</v>
      </c>
    </row>
    <row r="275" spans="1:20" ht="15.75" customHeight="1" thickBot="1">
      <c r="A275" s="191">
        <v>61</v>
      </c>
      <c r="B275" s="188">
        <v>1</v>
      </c>
      <c r="C275" s="195"/>
      <c r="D275" s="189" t="s">
        <v>183</v>
      </c>
      <c r="E275" s="189">
        <v>25</v>
      </c>
      <c r="F275" s="189" t="s">
        <v>165</v>
      </c>
      <c r="G275" s="189">
        <v>10</v>
      </c>
      <c r="H275" s="189" t="s">
        <v>166</v>
      </c>
      <c r="I275" s="189" t="s">
        <v>159</v>
      </c>
      <c r="J275" s="190"/>
      <c r="K275" s="190"/>
      <c r="L275" s="190"/>
      <c r="M275" s="190"/>
      <c r="N275" s="195"/>
      <c r="O275" s="189">
        <v>4124</v>
      </c>
      <c r="P275" s="189">
        <v>34.5</v>
      </c>
      <c r="Q275" s="195"/>
      <c r="R275" s="195"/>
      <c r="S275" s="189" t="s">
        <v>161</v>
      </c>
      <c r="T275" s="196">
        <v>2.02</v>
      </c>
    </row>
    <row r="276" spans="1:20" ht="15.75" customHeight="1">
      <c r="A276" s="193">
        <v>62</v>
      </c>
      <c r="B276" s="186">
        <v>1</v>
      </c>
      <c r="C276" s="35"/>
      <c r="D276" s="132" t="s">
        <v>183</v>
      </c>
      <c r="E276" s="132">
        <v>25</v>
      </c>
      <c r="F276" s="132" t="s">
        <v>165</v>
      </c>
      <c r="G276" s="132">
        <v>10</v>
      </c>
      <c r="H276" s="132" t="s">
        <v>166</v>
      </c>
      <c r="I276" s="132" t="s">
        <v>159</v>
      </c>
      <c r="J276" s="35"/>
      <c r="K276" s="132">
        <v>115</v>
      </c>
      <c r="L276" s="132">
        <v>16</v>
      </c>
      <c r="M276" s="35"/>
      <c r="N276" s="132" t="s">
        <v>162</v>
      </c>
      <c r="O276" s="132">
        <v>714</v>
      </c>
      <c r="P276" s="132">
        <v>12.4</v>
      </c>
      <c r="Q276" s="35"/>
      <c r="R276" s="132">
        <v>12.4</v>
      </c>
      <c r="S276" s="132" t="s">
        <v>161</v>
      </c>
      <c r="T276" s="194">
        <v>10.5</v>
      </c>
    </row>
    <row r="277" spans="1:20" ht="15.75" customHeight="1">
      <c r="A277" s="193">
        <v>62</v>
      </c>
      <c r="B277" s="186">
        <v>2</v>
      </c>
      <c r="C277" s="35"/>
      <c r="D277" s="132" t="s">
        <v>183</v>
      </c>
      <c r="E277" s="132">
        <v>25</v>
      </c>
      <c r="F277" s="132" t="s">
        <v>165</v>
      </c>
      <c r="G277" s="132">
        <v>10</v>
      </c>
      <c r="H277" s="132" t="s">
        <v>166</v>
      </c>
      <c r="I277" s="132" t="s">
        <v>159</v>
      </c>
      <c r="J277" s="35"/>
      <c r="K277" s="132">
        <v>115</v>
      </c>
      <c r="L277" s="132">
        <v>16</v>
      </c>
      <c r="M277" s="35"/>
      <c r="N277" s="132" t="s">
        <v>162</v>
      </c>
      <c r="O277" s="132">
        <v>728</v>
      </c>
      <c r="P277" s="132">
        <v>12.2</v>
      </c>
      <c r="Q277" s="35"/>
      <c r="R277" s="132">
        <v>12.2</v>
      </c>
      <c r="S277" s="132" t="s">
        <v>161</v>
      </c>
      <c r="T277" s="194">
        <v>18.3</v>
      </c>
    </row>
    <row r="278" spans="1:20" ht="15.75" customHeight="1" thickBot="1">
      <c r="A278" s="191">
        <v>62</v>
      </c>
      <c r="B278" s="188">
        <v>3</v>
      </c>
      <c r="C278" s="190"/>
      <c r="D278" s="189" t="s">
        <v>183</v>
      </c>
      <c r="E278" s="189">
        <v>25</v>
      </c>
      <c r="F278" s="189" t="s">
        <v>165</v>
      </c>
      <c r="G278" s="189">
        <v>10</v>
      </c>
      <c r="H278" s="189" t="s">
        <v>166</v>
      </c>
      <c r="I278" s="189" t="s">
        <v>159</v>
      </c>
      <c r="J278" s="190"/>
      <c r="K278" s="189">
        <v>115</v>
      </c>
      <c r="L278" s="189">
        <v>16</v>
      </c>
      <c r="M278" s="190"/>
      <c r="N278" s="189" t="s">
        <v>162</v>
      </c>
      <c r="O278" s="189">
        <v>402</v>
      </c>
      <c r="P278" s="189">
        <v>8.4</v>
      </c>
      <c r="Q278" s="190"/>
      <c r="R278" s="189">
        <v>8.4</v>
      </c>
      <c r="S278" s="189" t="s">
        <v>161</v>
      </c>
      <c r="T278" s="196">
        <v>14.3</v>
      </c>
    </row>
    <row r="279" spans="1:20" ht="15.75" customHeight="1">
      <c r="A279" s="193">
        <v>63</v>
      </c>
      <c r="B279" s="186">
        <v>1</v>
      </c>
      <c r="G279" s="132">
        <v>0.1</v>
      </c>
      <c r="H279" s="132" t="s">
        <v>187</v>
      </c>
      <c r="I279" s="132" t="s">
        <v>159</v>
      </c>
      <c r="K279" s="132">
        <v>50</v>
      </c>
      <c r="L279" s="132">
        <v>10</v>
      </c>
      <c r="N279" s="132" t="s">
        <v>162</v>
      </c>
      <c r="O279" s="132">
        <v>739</v>
      </c>
      <c r="P279" s="132">
        <v>5.96</v>
      </c>
      <c r="Q279" s="35"/>
      <c r="R279" s="35"/>
      <c r="S279" s="132" t="s">
        <v>161</v>
      </c>
      <c r="T279" s="194">
        <v>0.81</v>
      </c>
    </row>
    <row r="280" spans="1:20" ht="15.75" customHeight="1">
      <c r="A280" s="193">
        <v>63</v>
      </c>
      <c r="B280" s="186">
        <v>2</v>
      </c>
      <c r="G280" s="132">
        <v>0.1</v>
      </c>
      <c r="H280" s="132" t="s">
        <v>187</v>
      </c>
      <c r="I280" s="132" t="s">
        <v>159</v>
      </c>
      <c r="K280" s="132">
        <v>50</v>
      </c>
      <c r="L280" s="132">
        <v>10</v>
      </c>
      <c r="N280" s="132" t="s">
        <v>162</v>
      </c>
      <c r="O280" s="132">
        <v>208</v>
      </c>
      <c r="P280" s="132">
        <v>1.72</v>
      </c>
      <c r="Q280" s="35"/>
      <c r="R280" s="35"/>
      <c r="S280" s="132" t="s">
        <v>161</v>
      </c>
      <c r="T280" s="194">
        <v>1.02</v>
      </c>
    </row>
    <row r="281" spans="1:20" ht="15.75" customHeight="1">
      <c r="A281" s="193">
        <v>63</v>
      </c>
      <c r="B281" s="186">
        <v>3</v>
      </c>
      <c r="G281" s="132">
        <v>0.1</v>
      </c>
      <c r="H281" s="132" t="s">
        <v>187</v>
      </c>
      <c r="I281" s="132" t="s">
        <v>159</v>
      </c>
      <c r="K281" s="132">
        <v>50</v>
      </c>
      <c r="L281" s="132">
        <v>10</v>
      </c>
      <c r="N281" s="132" t="s">
        <v>162</v>
      </c>
      <c r="O281" s="132">
        <v>2648</v>
      </c>
      <c r="P281" s="132">
        <v>26.48</v>
      </c>
      <c r="Q281" s="35"/>
      <c r="R281" s="35"/>
      <c r="S281" s="132" t="s">
        <v>161</v>
      </c>
      <c r="T281" s="194">
        <v>1.03</v>
      </c>
    </row>
    <row r="282" spans="1:20" ht="15.75" customHeight="1" thickBot="1">
      <c r="A282" s="191">
        <v>63</v>
      </c>
      <c r="B282" s="188">
        <v>4</v>
      </c>
      <c r="C282" s="195"/>
      <c r="D282" s="195"/>
      <c r="E282" s="195"/>
      <c r="F282" s="195"/>
      <c r="G282" s="189">
        <v>0.1</v>
      </c>
      <c r="H282" s="189" t="s">
        <v>187</v>
      </c>
      <c r="I282" s="189" t="s">
        <v>159</v>
      </c>
      <c r="J282" s="195"/>
      <c r="K282" s="189">
        <v>50</v>
      </c>
      <c r="L282" s="189">
        <v>10</v>
      </c>
      <c r="M282" s="195"/>
      <c r="N282" s="189" t="s">
        <v>162</v>
      </c>
      <c r="O282" s="189">
        <v>919</v>
      </c>
      <c r="P282" s="189">
        <v>10.16</v>
      </c>
      <c r="Q282" s="190"/>
      <c r="R282" s="190"/>
      <c r="S282" s="189" t="s">
        <v>161</v>
      </c>
      <c r="T282" s="196">
        <v>1.49</v>
      </c>
    </row>
    <row r="283" spans="1:20" ht="15.75" customHeight="1">
      <c r="A283" s="193">
        <v>64</v>
      </c>
      <c r="B283" s="186">
        <v>1</v>
      </c>
      <c r="C283" s="35"/>
      <c r="D283" s="132" t="s">
        <v>183</v>
      </c>
      <c r="E283" s="35"/>
      <c r="F283" s="35"/>
      <c r="G283" s="35"/>
      <c r="H283" s="35"/>
      <c r="I283" s="35"/>
      <c r="J283" s="35"/>
      <c r="K283" s="35"/>
      <c r="L283" s="35"/>
      <c r="M283" s="35"/>
      <c r="N283" s="35" t="s">
        <v>162</v>
      </c>
      <c r="O283" s="35">
        <v>1252</v>
      </c>
      <c r="P283" s="132">
        <v>18.100000000000001</v>
      </c>
      <c r="Q283" s="35"/>
      <c r="R283" s="132">
        <v>18.100000000000001</v>
      </c>
      <c r="S283" s="132" t="s">
        <v>161</v>
      </c>
      <c r="T283" s="36">
        <v>2.4</v>
      </c>
    </row>
    <row r="284" spans="1:20" ht="15.75" customHeight="1">
      <c r="A284" s="193">
        <v>64</v>
      </c>
      <c r="B284" s="186">
        <v>2</v>
      </c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6"/>
    </row>
    <row r="285" spans="1:20" ht="15.75" customHeight="1">
      <c r="A285" s="193">
        <v>64</v>
      </c>
      <c r="B285" s="186">
        <v>3</v>
      </c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6"/>
    </row>
    <row r="286" spans="1:20" ht="15.75" customHeight="1">
      <c r="A286" s="193">
        <v>64</v>
      </c>
      <c r="B286" s="186">
        <v>4</v>
      </c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6"/>
    </row>
    <row r="287" spans="1:20" ht="15.75" customHeight="1">
      <c r="A287" s="193">
        <v>64</v>
      </c>
      <c r="B287" s="186">
        <v>5</v>
      </c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6"/>
    </row>
    <row r="288" spans="1:20" ht="15.75" customHeight="1">
      <c r="A288" s="193">
        <v>64</v>
      </c>
      <c r="B288" s="186">
        <v>6</v>
      </c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6"/>
    </row>
    <row r="289" spans="1:20" ht="15.75" customHeight="1">
      <c r="A289" s="193">
        <v>64</v>
      </c>
      <c r="B289" s="186">
        <v>7</v>
      </c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6"/>
    </row>
    <row r="290" spans="1:20" ht="15.75" customHeight="1">
      <c r="A290" s="193">
        <v>64</v>
      </c>
      <c r="B290" s="186">
        <v>8</v>
      </c>
      <c r="C290" s="35"/>
      <c r="D290" s="132" t="s">
        <v>183</v>
      </c>
      <c r="E290" s="132">
        <v>25</v>
      </c>
      <c r="F290" s="132" t="s">
        <v>165</v>
      </c>
      <c r="G290" s="132">
        <v>10</v>
      </c>
      <c r="H290" s="132" t="s">
        <v>166</v>
      </c>
      <c r="I290" s="132" t="s">
        <v>159</v>
      </c>
      <c r="J290" s="35"/>
      <c r="K290" s="132">
        <v>115</v>
      </c>
      <c r="L290" s="132">
        <v>16</v>
      </c>
      <c r="M290" s="35"/>
      <c r="N290" s="132" t="s">
        <v>162</v>
      </c>
      <c r="O290" s="35">
        <v>1735</v>
      </c>
      <c r="P290" s="132">
        <v>27</v>
      </c>
      <c r="Q290" s="35"/>
      <c r="R290" s="132">
        <v>27</v>
      </c>
      <c r="S290" s="132" t="s">
        <v>161</v>
      </c>
      <c r="T290" s="36">
        <v>2.4</v>
      </c>
    </row>
    <row r="291" spans="1:20" ht="15.75" customHeight="1">
      <c r="A291" s="193">
        <v>64</v>
      </c>
      <c r="B291" s="186">
        <v>9</v>
      </c>
      <c r="C291" s="35"/>
      <c r="D291" s="132" t="s">
        <v>183</v>
      </c>
      <c r="E291" s="132">
        <v>25</v>
      </c>
      <c r="F291" s="132" t="s">
        <v>165</v>
      </c>
      <c r="G291" s="132">
        <v>10</v>
      </c>
      <c r="H291" s="132" t="s">
        <v>166</v>
      </c>
      <c r="I291" s="132" t="s">
        <v>159</v>
      </c>
      <c r="J291" s="35"/>
      <c r="K291" s="132">
        <v>115</v>
      </c>
      <c r="L291" s="132">
        <v>16</v>
      </c>
      <c r="M291" s="35"/>
      <c r="N291" s="132" t="s">
        <v>162</v>
      </c>
      <c r="O291" s="35">
        <v>1976</v>
      </c>
      <c r="P291" s="132">
        <v>25.1</v>
      </c>
      <c r="Q291" s="35"/>
      <c r="R291" s="132">
        <v>25.1</v>
      </c>
      <c r="S291" s="132" t="s">
        <v>161</v>
      </c>
      <c r="T291" s="36">
        <v>1.7</v>
      </c>
    </row>
    <row r="292" spans="1:20" ht="15.75" customHeight="1">
      <c r="A292" s="193">
        <v>64</v>
      </c>
      <c r="B292" s="186">
        <v>10</v>
      </c>
      <c r="C292" s="35"/>
      <c r="D292" s="132" t="s">
        <v>183</v>
      </c>
      <c r="E292" s="132">
        <v>25</v>
      </c>
      <c r="F292" s="132" t="s">
        <v>165</v>
      </c>
      <c r="G292" s="132">
        <v>10</v>
      </c>
      <c r="H292" s="132" t="s">
        <v>166</v>
      </c>
      <c r="I292" s="132" t="s">
        <v>159</v>
      </c>
      <c r="J292" s="35"/>
      <c r="K292" s="132">
        <v>115</v>
      </c>
      <c r="L292" s="132">
        <v>16</v>
      </c>
      <c r="M292" s="35"/>
      <c r="N292" s="132" t="s">
        <v>162</v>
      </c>
      <c r="O292" s="35">
        <v>2000</v>
      </c>
      <c r="P292" s="132">
        <v>27.7</v>
      </c>
      <c r="Q292" s="35"/>
      <c r="R292" s="132">
        <v>27.7</v>
      </c>
      <c r="S292" s="132" t="s">
        <v>161</v>
      </c>
      <c r="T292" s="36">
        <v>2.2000000000000002</v>
      </c>
    </row>
    <row r="293" spans="1:20" ht="15.75" customHeight="1">
      <c r="A293" s="193">
        <v>64</v>
      </c>
      <c r="B293" s="186">
        <v>11</v>
      </c>
      <c r="C293" s="35"/>
      <c r="D293" s="132" t="s">
        <v>183</v>
      </c>
      <c r="E293" s="132">
        <v>25</v>
      </c>
      <c r="F293" s="132" t="s">
        <v>165</v>
      </c>
      <c r="G293" s="132">
        <v>10</v>
      </c>
      <c r="H293" s="132" t="s">
        <v>166</v>
      </c>
      <c r="I293" s="132" t="s">
        <v>159</v>
      </c>
      <c r="J293" s="35"/>
      <c r="K293" s="132">
        <v>115</v>
      </c>
      <c r="L293" s="132">
        <v>16</v>
      </c>
      <c r="M293" s="35"/>
      <c r="N293" s="132" t="s">
        <v>162</v>
      </c>
      <c r="O293" s="35">
        <v>1802</v>
      </c>
      <c r="P293" s="132">
        <v>21.7</v>
      </c>
      <c r="Q293" s="35"/>
      <c r="R293" s="132">
        <v>21.7</v>
      </c>
      <c r="S293" s="132" t="s">
        <v>161</v>
      </c>
      <c r="T293" s="36">
        <v>1.8</v>
      </c>
    </row>
    <row r="294" spans="1:20" ht="15.75" customHeight="1">
      <c r="A294" s="193">
        <v>64</v>
      </c>
      <c r="B294" s="186">
        <v>12</v>
      </c>
      <c r="C294" s="35"/>
      <c r="D294" s="132" t="s">
        <v>183</v>
      </c>
      <c r="E294" s="132">
        <v>25</v>
      </c>
      <c r="F294" s="132" t="s">
        <v>165</v>
      </c>
      <c r="G294" s="132">
        <v>10</v>
      </c>
      <c r="H294" s="132" t="s">
        <v>166</v>
      </c>
      <c r="I294" s="132" t="s">
        <v>159</v>
      </c>
      <c r="J294" s="35"/>
      <c r="K294" s="132">
        <v>115</v>
      </c>
      <c r="L294" s="132">
        <v>16</v>
      </c>
      <c r="M294" s="35"/>
      <c r="N294" s="132" t="s">
        <v>162</v>
      </c>
      <c r="O294" s="35">
        <v>1702</v>
      </c>
      <c r="P294" s="132">
        <v>29.4</v>
      </c>
      <c r="Q294" s="35"/>
      <c r="R294" s="132">
        <v>29.4</v>
      </c>
      <c r="S294" s="132" t="s">
        <v>161</v>
      </c>
      <c r="T294" s="36">
        <v>2</v>
      </c>
    </row>
    <row r="295" spans="1:20" ht="15.75" customHeight="1" thickBot="1">
      <c r="A295" s="191">
        <v>64</v>
      </c>
      <c r="B295" s="188">
        <v>13</v>
      </c>
      <c r="C295" s="190"/>
      <c r="D295" s="189" t="s">
        <v>183</v>
      </c>
      <c r="E295" s="189">
        <v>25</v>
      </c>
      <c r="F295" s="189" t="s">
        <v>165</v>
      </c>
      <c r="G295" s="189">
        <v>10</v>
      </c>
      <c r="H295" s="189" t="s">
        <v>166</v>
      </c>
      <c r="I295" s="189" t="s">
        <v>159</v>
      </c>
      <c r="J295" s="190"/>
      <c r="K295" s="189">
        <v>115</v>
      </c>
      <c r="L295" s="189">
        <v>16</v>
      </c>
      <c r="M295" s="190"/>
      <c r="N295" s="189" t="s">
        <v>162</v>
      </c>
      <c r="O295" s="190">
        <v>1462</v>
      </c>
      <c r="P295" s="189">
        <v>25.1</v>
      </c>
      <c r="Q295" s="190"/>
      <c r="R295" s="189">
        <v>25.1</v>
      </c>
      <c r="S295" s="189" t="s">
        <v>161</v>
      </c>
      <c r="T295" s="38">
        <v>2.1</v>
      </c>
    </row>
    <row r="296" spans="1:20" ht="15.75" customHeight="1">
      <c r="A296" s="193">
        <v>65</v>
      </c>
      <c r="B296" s="186">
        <v>1</v>
      </c>
      <c r="T296" s="6"/>
    </row>
    <row r="297" spans="1:20" ht="15.75" customHeight="1">
      <c r="A297" s="193">
        <v>65</v>
      </c>
      <c r="B297" s="186">
        <v>2</v>
      </c>
      <c r="T297" s="6"/>
    </row>
    <row r="298" spans="1:20" ht="15.75" customHeight="1">
      <c r="A298" s="193">
        <v>65</v>
      </c>
      <c r="B298" s="186">
        <v>3</v>
      </c>
      <c r="T298" s="6"/>
    </row>
    <row r="299" spans="1:20" ht="15.75" customHeight="1">
      <c r="A299" s="193">
        <v>65</v>
      </c>
      <c r="B299" s="186">
        <v>4</v>
      </c>
      <c r="T299" s="6"/>
    </row>
    <row r="300" spans="1:20" ht="15.75" customHeight="1">
      <c r="A300" s="193">
        <v>65</v>
      </c>
      <c r="B300" s="186">
        <v>5</v>
      </c>
      <c r="T300" s="6"/>
    </row>
    <row r="301" spans="1:20" ht="15.75" customHeight="1">
      <c r="A301" s="193">
        <v>66</v>
      </c>
      <c r="B301" s="186">
        <v>1</v>
      </c>
      <c r="T301" s="6"/>
    </row>
    <row r="302" spans="1:20" ht="15.75" customHeight="1">
      <c r="A302" s="193">
        <v>66</v>
      </c>
      <c r="B302" s="186">
        <v>2</v>
      </c>
      <c r="T302" s="6"/>
    </row>
    <row r="303" spans="1:20" ht="15.75" customHeight="1">
      <c r="A303" s="193">
        <v>66</v>
      </c>
      <c r="B303" s="186">
        <v>3</v>
      </c>
      <c r="T303" s="6"/>
    </row>
    <row r="304" spans="1:20" ht="15.75" customHeight="1" thickBot="1">
      <c r="A304" s="191">
        <v>66</v>
      </c>
      <c r="B304" s="188">
        <v>4</v>
      </c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41"/>
    </row>
    <row r="305" spans="1:21" ht="15.75" customHeight="1">
      <c r="A305" s="193">
        <v>67</v>
      </c>
      <c r="B305" s="186">
        <v>1</v>
      </c>
      <c r="T305" s="6"/>
    </row>
    <row r="306" spans="1:21" ht="15.75" customHeight="1">
      <c r="A306" s="193">
        <v>67</v>
      </c>
      <c r="B306" s="186">
        <v>2</v>
      </c>
      <c r="T306" s="6"/>
    </row>
    <row r="307" spans="1:21" ht="15.75" customHeight="1">
      <c r="A307" s="193">
        <v>67</v>
      </c>
      <c r="B307" s="186">
        <v>3</v>
      </c>
      <c r="T307" s="6"/>
    </row>
    <row r="308" spans="1:21" ht="15.75" customHeight="1">
      <c r="A308" s="193">
        <v>67</v>
      </c>
      <c r="B308" s="186">
        <v>4</v>
      </c>
      <c r="T308" s="6"/>
    </row>
    <row r="309" spans="1:21" ht="15.75" customHeight="1">
      <c r="A309" s="193">
        <v>67</v>
      </c>
      <c r="B309" s="186">
        <v>5</v>
      </c>
      <c r="T309" s="6"/>
    </row>
    <row r="310" spans="1:21" ht="15.75" customHeight="1">
      <c r="A310" s="193">
        <v>67</v>
      </c>
      <c r="B310" s="186">
        <v>6</v>
      </c>
      <c r="T310" s="6"/>
    </row>
    <row r="311" spans="1:21" ht="15.75" customHeight="1">
      <c r="A311" s="193">
        <v>67</v>
      </c>
      <c r="B311" s="186">
        <v>7</v>
      </c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6"/>
      <c r="U311" s="35"/>
    </row>
    <row r="312" spans="1:21" ht="15.75" customHeight="1">
      <c r="A312" s="193">
        <v>67</v>
      </c>
      <c r="B312" s="186">
        <v>8</v>
      </c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6"/>
      <c r="U312" s="35"/>
    </row>
    <row r="313" spans="1:21" ht="15.75" customHeight="1">
      <c r="A313" s="193">
        <v>67</v>
      </c>
      <c r="B313" s="186">
        <v>9</v>
      </c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6"/>
      <c r="U313" s="35"/>
    </row>
    <row r="314" spans="1:21" ht="15.75" customHeight="1" thickBot="1">
      <c r="A314" s="191">
        <v>67</v>
      </c>
      <c r="B314" s="188">
        <v>10</v>
      </c>
      <c r="C314" s="190"/>
      <c r="D314" s="190"/>
      <c r="E314" s="190"/>
      <c r="F314" s="190"/>
      <c r="G314" s="190"/>
      <c r="H314" s="190"/>
      <c r="I314" s="190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38"/>
      <c r="U314" s="35"/>
    </row>
    <row r="315" spans="1:21" ht="15.75" customHeight="1">
      <c r="A315" s="193">
        <v>68</v>
      </c>
      <c r="B315" s="186">
        <v>1</v>
      </c>
      <c r="C315" s="35"/>
      <c r="D315" s="35"/>
      <c r="E315" s="132">
        <v>25</v>
      </c>
      <c r="F315" s="132" t="s">
        <v>165</v>
      </c>
      <c r="G315" s="132">
        <v>10</v>
      </c>
      <c r="H315" s="132" t="s">
        <v>166</v>
      </c>
      <c r="I315" s="132" t="s">
        <v>159</v>
      </c>
      <c r="J315" s="35"/>
      <c r="K315" s="132">
        <v>15</v>
      </c>
      <c r="L315" s="132">
        <v>5</v>
      </c>
      <c r="M315" s="132">
        <v>0.2</v>
      </c>
      <c r="N315" s="132" t="s">
        <v>162</v>
      </c>
      <c r="O315" s="132">
        <v>720</v>
      </c>
      <c r="P315" s="132">
        <v>16</v>
      </c>
      <c r="Q315" s="35"/>
      <c r="R315" s="132">
        <v>16</v>
      </c>
      <c r="S315" s="132" t="s">
        <v>161</v>
      </c>
      <c r="T315" s="194">
        <v>16</v>
      </c>
      <c r="U315" s="35"/>
    </row>
    <row r="316" spans="1:21" ht="15.75" customHeight="1">
      <c r="A316" s="193">
        <v>68</v>
      </c>
      <c r="B316" s="186">
        <v>2</v>
      </c>
      <c r="C316" s="35"/>
      <c r="D316" s="35"/>
      <c r="E316" s="132">
        <v>25</v>
      </c>
      <c r="F316" s="132" t="s">
        <v>165</v>
      </c>
      <c r="G316" s="132">
        <v>10</v>
      </c>
      <c r="H316" s="132" t="s">
        <v>166</v>
      </c>
      <c r="I316" s="132" t="s">
        <v>159</v>
      </c>
      <c r="J316" s="35"/>
      <c r="K316" s="132">
        <v>15</v>
      </c>
      <c r="L316" s="132">
        <v>5</v>
      </c>
      <c r="M316" s="132">
        <v>0.2</v>
      </c>
      <c r="N316" s="132" t="s">
        <v>162</v>
      </c>
      <c r="O316" s="132">
        <v>743</v>
      </c>
      <c r="P316" s="132">
        <v>14</v>
      </c>
      <c r="Q316" s="35"/>
      <c r="R316" s="132">
        <v>14</v>
      </c>
      <c r="S316" s="132" t="s">
        <v>161</v>
      </c>
      <c r="T316" s="194">
        <v>15</v>
      </c>
      <c r="U316" s="35"/>
    </row>
    <row r="317" spans="1:21" ht="15.75" customHeight="1">
      <c r="A317" s="193">
        <v>68</v>
      </c>
      <c r="B317" s="186">
        <v>3</v>
      </c>
      <c r="C317" s="35"/>
      <c r="D317" s="35"/>
      <c r="E317" s="132">
        <v>25</v>
      </c>
      <c r="F317" s="132" t="s">
        <v>165</v>
      </c>
      <c r="G317" s="132">
        <v>10</v>
      </c>
      <c r="H317" s="132" t="s">
        <v>166</v>
      </c>
      <c r="I317" s="132" t="s">
        <v>159</v>
      </c>
      <c r="J317" s="35"/>
      <c r="K317" s="132">
        <v>15</v>
      </c>
      <c r="L317" s="132">
        <v>5</v>
      </c>
      <c r="M317" s="132">
        <v>0.2</v>
      </c>
      <c r="N317" s="132" t="s">
        <v>162</v>
      </c>
      <c r="O317" s="132">
        <v>668</v>
      </c>
      <c r="P317" s="132">
        <v>11</v>
      </c>
      <c r="Q317" s="35"/>
      <c r="R317" s="132">
        <v>11</v>
      </c>
      <c r="S317" s="132" t="s">
        <v>161</v>
      </c>
      <c r="T317" s="194">
        <v>11</v>
      </c>
      <c r="U317" s="35"/>
    </row>
    <row r="318" spans="1:21" ht="15.75" customHeight="1" thickBot="1">
      <c r="A318" s="191">
        <v>68</v>
      </c>
      <c r="B318" s="188">
        <v>4</v>
      </c>
      <c r="C318" s="190"/>
      <c r="D318" s="190"/>
      <c r="E318" s="189">
        <v>25</v>
      </c>
      <c r="F318" s="189" t="s">
        <v>165</v>
      </c>
      <c r="G318" s="189">
        <v>10</v>
      </c>
      <c r="H318" s="189" t="s">
        <v>166</v>
      </c>
      <c r="I318" s="189" t="s">
        <v>159</v>
      </c>
      <c r="J318" s="190"/>
      <c r="K318" s="189">
        <v>15</v>
      </c>
      <c r="L318" s="189">
        <v>5</v>
      </c>
      <c r="M318" s="189">
        <v>0.2</v>
      </c>
      <c r="N318" s="189" t="s">
        <v>162</v>
      </c>
      <c r="O318" s="189">
        <v>124</v>
      </c>
      <c r="P318" s="189">
        <v>2</v>
      </c>
      <c r="Q318" s="190"/>
      <c r="R318" s="189">
        <v>2</v>
      </c>
      <c r="S318" s="189" t="s">
        <v>161</v>
      </c>
      <c r="T318" s="196">
        <v>2</v>
      </c>
      <c r="U318" s="35"/>
    </row>
    <row r="319" spans="1:21" ht="15.75" customHeight="1">
      <c r="A319" s="193">
        <v>69</v>
      </c>
      <c r="B319" s="186">
        <v>1</v>
      </c>
      <c r="C319" s="132"/>
      <c r="D319" s="132"/>
      <c r="E319" s="132"/>
      <c r="F319" s="132"/>
      <c r="G319" s="132">
        <v>10</v>
      </c>
      <c r="H319" s="132" t="s">
        <v>166</v>
      </c>
      <c r="I319" s="132"/>
      <c r="J319" s="132"/>
      <c r="K319" s="132">
        <v>50</v>
      </c>
      <c r="L319" s="132"/>
      <c r="M319" s="132"/>
      <c r="N319" s="132" t="s">
        <v>162</v>
      </c>
      <c r="O319" s="132">
        <v>920</v>
      </c>
      <c r="P319" s="132">
        <v>18.8</v>
      </c>
      <c r="Q319" s="35"/>
      <c r="R319" s="35"/>
      <c r="S319" s="132" t="s">
        <v>161</v>
      </c>
      <c r="T319" s="194">
        <v>5.7</v>
      </c>
      <c r="U319" s="35"/>
    </row>
    <row r="320" spans="1:21" ht="15.75" customHeight="1">
      <c r="A320" s="193">
        <v>69</v>
      </c>
      <c r="B320" s="186">
        <v>2</v>
      </c>
      <c r="C320" s="132"/>
      <c r="D320" s="132"/>
      <c r="E320" s="132"/>
      <c r="F320" s="132"/>
      <c r="G320" s="132">
        <v>10</v>
      </c>
      <c r="H320" s="132" t="s">
        <v>166</v>
      </c>
      <c r="I320" s="132"/>
      <c r="J320" s="132"/>
      <c r="K320" s="132">
        <v>50</v>
      </c>
      <c r="L320" s="132"/>
      <c r="M320" s="132"/>
      <c r="N320" s="132" t="s">
        <v>162</v>
      </c>
      <c r="O320" s="132">
        <v>1270</v>
      </c>
      <c r="P320" s="132">
        <v>21.2</v>
      </c>
      <c r="Q320" s="35"/>
      <c r="R320" s="35"/>
      <c r="S320" s="132" t="s">
        <v>161</v>
      </c>
      <c r="T320" s="194">
        <v>5.0999999999999996</v>
      </c>
      <c r="U320" s="35"/>
    </row>
    <row r="321" spans="1:21" ht="15.75" customHeight="1">
      <c r="A321" s="193">
        <v>69</v>
      </c>
      <c r="B321" s="186">
        <v>3</v>
      </c>
      <c r="C321" s="132"/>
      <c r="D321" s="132"/>
      <c r="E321" s="132"/>
      <c r="F321" s="132"/>
      <c r="G321" s="132">
        <v>10</v>
      </c>
      <c r="H321" s="132" t="s">
        <v>166</v>
      </c>
      <c r="I321" s="132"/>
      <c r="J321" s="132"/>
      <c r="K321" s="132">
        <v>50</v>
      </c>
      <c r="L321" s="132"/>
      <c r="M321" s="132"/>
      <c r="N321" s="132" t="s">
        <v>162</v>
      </c>
      <c r="O321" s="132">
        <v>1450</v>
      </c>
      <c r="P321" s="132">
        <v>21.4</v>
      </c>
      <c r="Q321" s="35"/>
      <c r="R321" s="35"/>
      <c r="S321" s="132" t="s">
        <v>161</v>
      </c>
      <c r="T321" s="194">
        <v>4.2</v>
      </c>
      <c r="U321" s="35"/>
    </row>
    <row r="322" spans="1:21" ht="15.75" customHeight="1" thickBot="1">
      <c r="A322" s="191">
        <v>69</v>
      </c>
      <c r="B322" s="188">
        <v>4</v>
      </c>
      <c r="C322" s="189"/>
      <c r="D322" s="189"/>
      <c r="E322" s="189"/>
      <c r="F322" s="189"/>
      <c r="G322" s="189">
        <v>10</v>
      </c>
      <c r="H322" s="189" t="s">
        <v>166</v>
      </c>
      <c r="I322" s="189"/>
      <c r="J322" s="189"/>
      <c r="K322" s="189">
        <v>50</v>
      </c>
      <c r="L322" s="189"/>
      <c r="M322" s="189"/>
      <c r="N322" s="189" t="s">
        <v>162</v>
      </c>
      <c r="O322" s="189">
        <v>1480</v>
      </c>
      <c r="P322" s="189">
        <v>21.1</v>
      </c>
      <c r="Q322" s="190"/>
      <c r="R322" s="190"/>
      <c r="S322" s="189" t="s">
        <v>161</v>
      </c>
      <c r="T322" s="196">
        <v>3.1</v>
      </c>
      <c r="U322" s="35"/>
    </row>
    <row r="323" spans="1:21" ht="15.75" customHeight="1">
      <c r="A323" s="193">
        <v>70</v>
      </c>
      <c r="B323" s="186">
        <v>1</v>
      </c>
      <c r="C323" s="35"/>
      <c r="D323" s="132" t="s">
        <v>183</v>
      </c>
      <c r="E323" s="35"/>
      <c r="F323" s="35"/>
      <c r="G323" s="35"/>
      <c r="H323" s="35"/>
      <c r="I323" s="132" t="s">
        <v>159</v>
      </c>
      <c r="J323" s="35"/>
      <c r="K323" s="35"/>
      <c r="L323" s="35"/>
      <c r="M323" s="35"/>
      <c r="N323" s="35"/>
      <c r="O323" s="132">
        <v>2840</v>
      </c>
      <c r="P323" s="132">
        <v>26</v>
      </c>
      <c r="Q323" s="35"/>
      <c r="R323" s="132">
        <v>26</v>
      </c>
      <c r="S323" s="132" t="s">
        <v>161</v>
      </c>
      <c r="T323" s="194">
        <v>1.6</v>
      </c>
    </row>
    <row r="324" spans="1:21" ht="15.75" customHeight="1">
      <c r="A324" s="193">
        <v>70</v>
      </c>
      <c r="B324" s="186">
        <v>2</v>
      </c>
      <c r="C324" s="35"/>
      <c r="D324" s="132" t="s">
        <v>183</v>
      </c>
      <c r="E324" s="35"/>
      <c r="F324" s="35"/>
      <c r="G324" s="35"/>
      <c r="H324" s="35"/>
      <c r="I324" s="132" t="s">
        <v>159</v>
      </c>
      <c r="J324" s="35"/>
      <c r="K324" s="35"/>
      <c r="L324" s="35"/>
      <c r="M324" s="35"/>
      <c r="N324" s="35"/>
      <c r="O324" s="132">
        <v>2435</v>
      </c>
      <c r="P324" s="132">
        <v>22.1</v>
      </c>
      <c r="Q324" s="35"/>
      <c r="R324" s="132">
        <v>22.1</v>
      </c>
      <c r="S324" s="132" t="s">
        <v>161</v>
      </c>
      <c r="T324" s="194">
        <v>1.1000000000000001</v>
      </c>
    </row>
    <row r="325" spans="1:21" ht="15.75" customHeight="1">
      <c r="A325" s="193">
        <v>70</v>
      </c>
      <c r="B325" s="186">
        <v>3</v>
      </c>
      <c r="C325" s="35"/>
      <c r="D325" s="132" t="s">
        <v>183</v>
      </c>
      <c r="E325" s="35"/>
      <c r="F325" s="35"/>
      <c r="G325" s="35"/>
      <c r="H325" s="35"/>
      <c r="I325" s="132" t="s">
        <v>159</v>
      </c>
      <c r="J325" s="35"/>
      <c r="K325" s="35"/>
      <c r="L325" s="35"/>
      <c r="M325" s="35"/>
      <c r="N325" s="35"/>
      <c r="O325" s="132">
        <v>3380</v>
      </c>
      <c r="P325" s="132">
        <v>20.6</v>
      </c>
      <c r="Q325" s="35"/>
      <c r="R325" s="132">
        <v>20.6</v>
      </c>
      <c r="S325" s="132" t="s">
        <v>161</v>
      </c>
      <c r="T325" s="194">
        <v>0.9</v>
      </c>
    </row>
    <row r="326" spans="1:21" ht="15.75" customHeight="1">
      <c r="A326" s="193">
        <v>70</v>
      </c>
      <c r="B326" s="186">
        <v>4</v>
      </c>
      <c r="C326" s="35"/>
      <c r="D326" s="132" t="s">
        <v>183</v>
      </c>
      <c r="E326" s="35"/>
      <c r="F326" s="35"/>
      <c r="G326" s="35"/>
      <c r="H326" s="35"/>
      <c r="I326" s="132" t="s">
        <v>159</v>
      </c>
      <c r="J326" s="35"/>
      <c r="K326" s="35"/>
      <c r="L326" s="35"/>
      <c r="M326" s="35"/>
      <c r="N326" s="35"/>
      <c r="O326" s="132">
        <v>2020</v>
      </c>
      <c r="P326" s="132">
        <v>17</v>
      </c>
      <c r="Q326" s="35"/>
      <c r="R326" s="132">
        <v>17</v>
      </c>
      <c r="S326" s="132" t="s">
        <v>161</v>
      </c>
      <c r="T326" s="194">
        <v>0.8</v>
      </c>
    </row>
    <row r="327" spans="1:21" ht="15.75" customHeight="1">
      <c r="A327" s="193">
        <v>70</v>
      </c>
      <c r="B327" s="186">
        <v>5</v>
      </c>
      <c r="C327" s="35"/>
      <c r="D327" s="132" t="s">
        <v>183</v>
      </c>
      <c r="E327" s="35"/>
      <c r="F327" s="35"/>
      <c r="G327" s="35"/>
      <c r="H327" s="35"/>
      <c r="I327" s="132" t="s">
        <v>159</v>
      </c>
      <c r="J327" s="35"/>
      <c r="K327" s="35"/>
      <c r="L327" s="35"/>
      <c r="M327" s="35"/>
      <c r="N327" s="35"/>
      <c r="O327" s="132">
        <v>3778</v>
      </c>
      <c r="P327" s="132">
        <v>22.4</v>
      </c>
      <c r="Q327" s="35"/>
      <c r="R327" s="132">
        <v>22.4</v>
      </c>
      <c r="S327" s="132" t="s">
        <v>161</v>
      </c>
      <c r="T327" s="194">
        <v>1.1000000000000001</v>
      </c>
    </row>
    <row r="328" spans="1:21" ht="15.75" customHeight="1">
      <c r="A328" s="193">
        <v>70</v>
      </c>
      <c r="B328" s="186">
        <v>6</v>
      </c>
      <c r="C328" s="35"/>
      <c r="D328" s="132" t="s">
        <v>183</v>
      </c>
      <c r="E328" s="35"/>
      <c r="F328" s="35"/>
      <c r="G328" s="35"/>
      <c r="H328" s="35"/>
      <c r="I328" s="132" t="s">
        <v>159</v>
      </c>
      <c r="J328" s="35"/>
      <c r="K328" s="35"/>
      <c r="L328" s="35"/>
      <c r="M328" s="35"/>
      <c r="N328" s="35"/>
      <c r="O328" s="132">
        <v>3303</v>
      </c>
      <c r="P328" s="132">
        <v>15</v>
      </c>
      <c r="Q328" s="35"/>
      <c r="R328" s="132">
        <v>15</v>
      </c>
      <c r="S328" s="132" t="s">
        <v>161</v>
      </c>
      <c r="T328" s="194">
        <v>1.3</v>
      </c>
    </row>
    <row r="329" spans="1:21" ht="15.75" customHeight="1" thickBot="1">
      <c r="A329" s="191">
        <v>70</v>
      </c>
      <c r="B329" s="188">
        <v>7</v>
      </c>
      <c r="C329" s="190"/>
      <c r="D329" s="189" t="s">
        <v>183</v>
      </c>
      <c r="E329" s="190"/>
      <c r="F329" s="190"/>
      <c r="G329" s="190"/>
      <c r="H329" s="190"/>
      <c r="I329" s="189" t="s">
        <v>159</v>
      </c>
      <c r="J329" s="190"/>
      <c r="K329" s="190"/>
      <c r="L329" s="190"/>
      <c r="M329" s="190"/>
      <c r="N329" s="190"/>
      <c r="O329" s="189">
        <v>3542</v>
      </c>
      <c r="P329" s="189">
        <v>20.6</v>
      </c>
      <c r="Q329" s="190"/>
      <c r="R329" s="189">
        <v>20.6</v>
      </c>
      <c r="S329" s="189" t="s">
        <v>161</v>
      </c>
      <c r="T329" s="196">
        <v>1.8</v>
      </c>
    </row>
    <row r="330" spans="1:21" ht="15.75" customHeight="1">
      <c r="A330" s="193">
        <v>71</v>
      </c>
      <c r="B330" s="186">
        <v>1</v>
      </c>
      <c r="C330" s="132"/>
      <c r="D330" s="132" t="s">
        <v>188</v>
      </c>
      <c r="E330" s="132"/>
      <c r="F330" s="132"/>
      <c r="G330" s="132">
        <v>1</v>
      </c>
      <c r="H330" s="132" t="s">
        <v>166</v>
      </c>
      <c r="I330" s="132"/>
      <c r="J330" s="132"/>
      <c r="K330" s="132"/>
      <c r="L330" s="132"/>
      <c r="M330" s="132"/>
      <c r="N330" s="132"/>
      <c r="O330" s="132">
        <v>250.6</v>
      </c>
      <c r="P330" s="132">
        <v>31.6</v>
      </c>
      <c r="Q330" s="35"/>
      <c r="R330" s="35"/>
      <c r="S330" s="132" t="s">
        <v>161</v>
      </c>
      <c r="T330" s="194">
        <v>4.7</v>
      </c>
    </row>
    <row r="331" spans="1:21" ht="15.75" customHeight="1">
      <c r="A331" s="193">
        <v>71</v>
      </c>
      <c r="B331" s="186">
        <v>2</v>
      </c>
      <c r="C331" s="132"/>
      <c r="D331" s="132" t="s">
        <v>188</v>
      </c>
      <c r="E331" s="132"/>
      <c r="F331" s="132"/>
      <c r="G331" s="132">
        <v>1</v>
      </c>
      <c r="H331" s="132" t="s">
        <v>166</v>
      </c>
      <c r="I331" s="132"/>
      <c r="J331" s="132"/>
      <c r="K331" s="132"/>
      <c r="L331" s="132"/>
      <c r="M331" s="132"/>
      <c r="N331" s="132"/>
      <c r="O331" s="132">
        <v>261.2</v>
      </c>
      <c r="P331" s="132">
        <v>33</v>
      </c>
      <c r="Q331" s="35"/>
      <c r="R331" s="35"/>
      <c r="S331" s="132" t="s">
        <v>161</v>
      </c>
      <c r="T331" s="194">
        <v>5.7</v>
      </c>
    </row>
    <row r="332" spans="1:21" ht="15.75" customHeight="1">
      <c r="A332" s="193">
        <v>71</v>
      </c>
      <c r="B332" s="186">
        <v>3</v>
      </c>
      <c r="C332" s="132"/>
      <c r="D332" s="132" t="s">
        <v>188</v>
      </c>
      <c r="E332" s="132"/>
      <c r="F332" s="132"/>
      <c r="G332" s="132">
        <v>1</v>
      </c>
      <c r="H332" s="132" t="s">
        <v>166</v>
      </c>
      <c r="I332" s="132"/>
      <c r="J332" s="132"/>
      <c r="K332" s="132"/>
      <c r="L332" s="132"/>
      <c r="M332" s="132"/>
      <c r="N332" s="132"/>
      <c r="O332" s="132">
        <v>270.3</v>
      </c>
      <c r="P332" s="132">
        <v>25.8</v>
      </c>
      <c r="Q332" s="35"/>
      <c r="R332" s="35"/>
      <c r="S332" s="132" t="s">
        <v>161</v>
      </c>
      <c r="T332" s="194">
        <v>2.6</v>
      </c>
    </row>
    <row r="333" spans="1:21" ht="15.75" customHeight="1">
      <c r="A333" s="193">
        <v>71</v>
      </c>
      <c r="B333" s="186">
        <v>4</v>
      </c>
      <c r="C333" s="132"/>
      <c r="D333" s="132" t="s">
        <v>188</v>
      </c>
      <c r="E333" s="132"/>
      <c r="F333" s="132"/>
      <c r="G333" s="132">
        <v>1</v>
      </c>
      <c r="H333" s="132" t="s">
        <v>166</v>
      </c>
      <c r="I333" s="132"/>
      <c r="J333" s="132"/>
      <c r="K333" s="132"/>
      <c r="L333" s="132"/>
      <c r="M333" s="132"/>
      <c r="N333" s="132"/>
      <c r="O333" s="132">
        <v>274.2</v>
      </c>
      <c r="P333" s="132">
        <v>25.9</v>
      </c>
      <c r="Q333" s="35"/>
      <c r="R333" s="35"/>
      <c r="S333" s="132" t="s">
        <v>161</v>
      </c>
      <c r="T333" s="194">
        <v>2.2999999999999998</v>
      </c>
    </row>
    <row r="334" spans="1:21" ht="15.75" customHeight="1">
      <c r="A334" s="193">
        <v>71</v>
      </c>
      <c r="B334" s="186">
        <v>5</v>
      </c>
      <c r="C334" s="132"/>
      <c r="D334" s="132" t="s">
        <v>188</v>
      </c>
      <c r="E334" s="132"/>
      <c r="F334" s="132"/>
      <c r="G334" s="132">
        <v>1</v>
      </c>
      <c r="H334" s="132" t="s">
        <v>166</v>
      </c>
      <c r="I334" s="132"/>
      <c r="J334" s="132"/>
      <c r="K334" s="132"/>
      <c r="L334" s="132"/>
      <c r="M334" s="132"/>
      <c r="N334" s="132"/>
      <c r="O334" s="132">
        <v>272.89999999999998</v>
      </c>
      <c r="P334" s="132">
        <v>25.1</v>
      </c>
      <c r="Q334" s="35"/>
      <c r="R334" s="35"/>
      <c r="S334" s="132" t="s">
        <v>161</v>
      </c>
      <c r="T334" s="194">
        <v>2.4</v>
      </c>
    </row>
    <row r="335" spans="1:21" ht="15.75" customHeight="1">
      <c r="A335" s="193">
        <v>71</v>
      </c>
      <c r="B335" s="186">
        <v>6</v>
      </c>
      <c r="C335" s="132"/>
      <c r="D335" s="132" t="s">
        <v>188</v>
      </c>
      <c r="E335" s="132"/>
      <c r="F335" s="132"/>
      <c r="G335" s="132">
        <v>1</v>
      </c>
      <c r="H335" s="132" t="s">
        <v>166</v>
      </c>
      <c r="I335" s="132"/>
      <c r="J335" s="132"/>
      <c r="K335" s="132"/>
      <c r="L335" s="132"/>
      <c r="M335" s="132"/>
      <c r="N335" s="132"/>
      <c r="O335" s="132">
        <v>280.89999999999998</v>
      </c>
      <c r="P335" s="132">
        <v>29.1</v>
      </c>
      <c r="Q335" s="35"/>
      <c r="R335" s="35"/>
      <c r="S335" s="132" t="s">
        <v>161</v>
      </c>
      <c r="T335" s="194">
        <v>3</v>
      </c>
    </row>
    <row r="336" spans="1:21" ht="15.75" customHeight="1" thickBot="1">
      <c r="A336" s="191">
        <v>71</v>
      </c>
      <c r="B336" s="188">
        <v>7</v>
      </c>
      <c r="C336" s="189"/>
      <c r="D336" s="132" t="s">
        <v>188</v>
      </c>
      <c r="E336" s="189"/>
      <c r="F336" s="189"/>
      <c r="G336" s="132">
        <v>1</v>
      </c>
      <c r="H336" s="132" t="s">
        <v>166</v>
      </c>
      <c r="I336" s="189"/>
      <c r="J336" s="189"/>
      <c r="K336" s="189"/>
      <c r="L336" s="189"/>
      <c r="M336" s="189"/>
      <c r="N336" s="189"/>
      <c r="O336" s="189">
        <v>271.5</v>
      </c>
      <c r="P336" s="189">
        <v>28.3</v>
      </c>
      <c r="Q336" s="190"/>
      <c r="R336" s="190"/>
      <c r="S336" s="189" t="s">
        <v>161</v>
      </c>
      <c r="T336" s="196">
        <v>2.7</v>
      </c>
    </row>
    <row r="337" spans="1:20" ht="15.75" customHeight="1">
      <c r="A337" s="173">
        <v>72</v>
      </c>
      <c r="B337" s="184">
        <v>1</v>
      </c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43"/>
    </row>
    <row r="338" spans="1:20" ht="15.75" customHeight="1">
      <c r="A338" s="185">
        <v>72</v>
      </c>
      <c r="B338" s="186">
        <v>2</v>
      </c>
      <c r="T338" s="6"/>
    </row>
    <row r="339" spans="1:20" ht="15.75" customHeight="1">
      <c r="A339" s="185">
        <v>72</v>
      </c>
      <c r="B339" s="186">
        <v>3</v>
      </c>
      <c r="T339" s="6"/>
    </row>
    <row r="340" spans="1:20" ht="15.75" customHeight="1">
      <c r="A340" s="185">
        <v>72</v>
      </c>
      <c r="B340" s="186">
        <v>4</v>
      </c>
      <c r="T340" s="6"/>
    </row>
    <row r="341" spans="1:20" ht="15.75" customHeight="1" thickBot="1">
      <c r="A341" s="187">
        <v>72</v>
      </c>
      <c r="B341" s="188">
        <v>5</v>
      </c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41"/>
    </row>
    <row r="342" spans="1:20" ht="15.75" customHeight="1">
      <c r="A342" s="173">
        <v>73</v>
      </c>
      <c r="B342" s="184">
        <v>1</v>
      </c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43"/>
    </row>
    <row r="343" spans="1:20" ht="15.75" customHeight="1">
      <c r="A343" s="185">
        <v>73</v>
      </c>
      <c r="B343" s="186">
        <v>2</v>
      </c>
      <c r="T343" s="6"/>
    </row>
    <row r="344" spans="1:20" ht="15.75" customHeight="1">
      <c r="A344" s="185">
        <v>73</v>
      </c>
      <c r="B344" s="186">
        <v>3</v>
      </c>
      <c r="T344" s="6"/>
    </row>
    <row r="345" spans="1:20" ht="15.75" customHeight="1">
      <c r="A345" s="185">
        <v>73</v>
      </c>
      <c r="B345" s="186">
        <v>4</v>
      </c>
      <c r="T345" s="6"/>
    </row>
    <row r="346" spans="1:20" ht="15.75" customHeight="1">
      <c r="A346" s="185">
        <v>73</v>
      </c>
      <c r="B346" s="186">
        <v>5</v>
      </c>
      <c r="T346" s="6"/>
    </row>
    <row r="347" spans="1:20" ht="15.75" customHeight="1" thickBot="1">
      <c r="A347" s="187">
        <v>73</v>
      </c>
      <c r="B347" s="188">
        <v>6</v>
      </c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41"/>
    </row>
    <row r="348" spans="1:20" ht="15.75" customHeight="1">
      <c r="A348" s="173">
        <v>74</v>
      </c>
      <c r="B348" s="184">
        <v>1</v>
      </c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43"/>
    </row>
    <row r="349" spans="1:20" ht="15.75" customHeight="1">
      <c r="A349" s="185">
        <v>74</v>
      </c>
      <c r="B349" s="186">
        <v>2</v>
      </c>
      <c r="T349" s="6"/>
    </row>
    <row r="350" spans="1:20" ht="15.75" customHeight="1">
      <c r="A350" s="185">
        <v>74</v>
      </c>
      <c r="B350" s="186">
        <v>3</v>
      </c>
      <c r="T350" s="6"/>
    </row>
    <row r="351" spans="1:20" ht="15.75" customHeight="1">
      <c r="A351" s="185">
        <v>74</v>
      </c>
      <c r="B351" s="186">
        <v>4</v>
      </c>
      <c r="T351" s="6"/>
    </row>
    <row r="352" spans="1:20" ht="15.75" customHeight="1">
      <c r="A352" s="185">
        <v>74</v>
      </c>
      <c r="B352" s="186">
        <v>5</v>
      </c>
      <c r="T352" s="6"/>
    </row>
    <row r="353" spans="1:21" ht="15.75" customHeight="1">
      <c r="A353" s="185">
        <v>74</v>
      </c>
      <c r="B353" s="186">
        <v>6</v>
      </c>
      <c r="T353" s="6"/>
    </row>
    <row r="354" spans="1:21" ht="15.75" customHeight="1" thickBot="1">
      <c r="A354" s="187">
        <v>74</v>
      </c>
      <c r="B354" s="188">
        <v>7</v>
      </c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41"/>
    </row>
    <row r="355" spans="1:21" ht="15.75" customHeight="1">
      <c r="A355" s="173">
        <v>75</v>
      </c>
      <c r="B355" s="184">
        <v>1</v>
      </c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43"/>
    </row>
    <row r="356" spans="1:21" ht="15.75" customHeight="1">
      <c r="A356" s="185">
        <v>75</v>
      </c>
      <c r="B356" s="186">
        <v>2</v>
      </c>
      <c r="T356" s="6"/>
    </row>
    <row r="357" spans="1:21" ht="15.75" customHeight="1">
      <c r="A357" s="185">
        <v>75</v>
      </c>
      <c r="B357" s="186">
        <v>3</v>
      </c>
      <c r="T357" s="6"/>
    </row>
    <row r="358" spans="1:21" ht="15.75" customHeight="1">
      <c r="A358" s="185">
        <v>75</v>
      </c>
      <c r="B358" s="186">
        <v>4</v>
      </c>
      <c r="T358" s="6"/>
    </row>
    <row r="359" spans="1:21" ht="15.75" customHeight="1">
      <c r="A359" s="185">
        <v>75</v>
      </c>
      <c r="B359" s="186">
        <v>5</v>
      </c>
      <c r="T359" s="6"/>
    </row>
    <row r="360" spans="1:21" ht="15.75" customHeight="1">
      <c r="A360" s="185">
        <v>75</v>
      </c>
      <c r="B360" s="186">
        <v>6</v>
      </c>
      <c r="T360" s="6"/>
    </row>
    <row r="361" spans="1:21" ht="15.75" customHeight="1">
      <c r="A361" s="185">
        <v>75</v>
      </c>
      <c r="B361" s="186">
        <v>7</v>
      </c>
      <c r="T361" s="6"/>
    </row>
    <row r="362" spans="1:21" ht="15.75" customHeight="1">
      <c r="A362" s="185">
        <v>75</v>
      </c>
      <c r="B362" s="186">
        <v>8</v>
      </c>
      <c r="T362" s="6"/>
    </row>
    <row r="363" spans="1:21" ht="15.75" customHeight="1">
      <c r="A363" s="185">
        <v>75</v>
      </c>
      <c r="B363" s="186">
        <v>9</v>
      </c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6"/>
      <c r="U363" s="35"/>
    </row>
    <row r="364" spans="1:21" ht="15.75" customHeight="1">
      <c r="A364" s="185">
        <v>75</v>
      </c>
      <c r="B364" s="186">
        <v>10</v>
      </c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6"/>
      <c r="U364" s="35"/>
    </row>
    <row r="365" spans="1:21" ht="15.75" customHeight="1" thickBot="1">
      <c r="A365" s="187">
        <v>75</v>
      </c>
      <c r="B365" s="188">
        <v>11</v>
      </c>
      <c r="C365" s="190"/>
      <c r="D365" s="190"/>
      <c r="E365" s="190"/>
      <c r="F365" s="190"/>
      <c r="G365" s="190"/>
      <c r="H365" s="190"/>
      <c r="I365" s="190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38"/>
      <c r="U365" s="35"/>
    </row>
    <row r="366" spans="1:21" ht="15.75" customHeight="1">
      <c r="A366" s="219">
        <v>76</v>
      </c>
      <c r="B366" s="184">
        <v>1</v>
      </c>
      <c r="C366" s="176"/>
      <c r="D366" s="176" t="s">
        <v>183</v>
      </c>
      <c r="E366" s="174"/>
      <c r="F366" s="176"/>
      <c r="G366" s="174">
        <v>5</v>
      </c>
      <c r="H366" s="174" t="s">
        <v>166</v>
      </c>
      <c r="I366" s="176"/>
      <c r="J366" s="176"/>
      <c r="K366" s="176"/>
      <c r="L366" s="176"/>
      <c r="M366" s="176"/>
      <c r="N366" s="176"/>
      <c r="O366" s="174">
        <v>950</v>
      </c>
      <c r="P366" s="174">
        <v>21.2</v>
      </c>
      <c r="Q366" s="176"/>
      <c r="R366" s="176"/>
      <c r="S366" s="174" t="s">
        <v>161</v>
      </c>
      <c r="T366" s="197">
        <v>4.92</v>
      </c>
      <c r="U366" s="35"/>
    </row>
    <row r="367" spans="1:21" ht="15.75" customHeight="1" thickBot="1">
      <c r="A367" s="191">
        <v>76</v>
      </c>
      <c r="B367" s="188">
        <v>2</v>
      </c>
      <c r="C367" s="190"/>
      <c r="D367" s="189" t="s">
        <v>183</v>
      </c>
      <c r="E367" s="189"/>
      <c r="F367" s="190"/>
      <c r="G367" s="189">
        <v>5</v>
      </c>
      <c r="H367" s="189" t="s">
        <v>166</v>
      </c>
      <c r="I367" s="190"/>
      <c r="J367" s="190"/>
      <c r="K367" s="190"/>
      <c r="L367" s="190"/>
      <c r="M367" s="190"/>
      <c r="N367" s="190"/>
      <c r="O367" s="189">
        <v>1580</v>
      </c>
      <c r="P367" s="189">
        <v>13.9</v>
      </c>
      <c r="Q367" s="190"/>
      <c r="R367" s="190"/>
      <c r="S367" s="337" t="s">
        <v>161</v>
      </c>
      <c r="T367" s="196">
        <v>1.42</v>
      </c>
      <c r="U367" s="35"/>
    </row>
    <row r="368" spans="1:21" ht="15.75" customHeight="1">
      <c r="A368" s="193">
        <v>77</v>
      </c>
      <c r="B368" s="186">
        <v>1</v>
      </c>
      <c r="C368" s="132" t="s">
        <v>186</v>
      </c>
      <c r="D368" s="35"/>
      <c r="E368" s="132">
        <v>25</v>
      </c>
      <c r="F368" s="132" t="s">
        <v>165</v>
      </c>
      <c r="G368" s="132">
        <v>2</v>
      </c>
      <c r="H368" s="132" t="s">
        <v>166</v>
      </c>
      <c r="I368" s="132" t="s">
        <v>189</v>
      </c>
      <c r="J368" s="132">
        <v>0.5</v>
      </c>
      <c r="K368" s="35"/>
      <c r="L368" s="35"/>
      <c r="M368" s="35"/>
      <c r="N368" s="132" t="s">
        <v>162</v>
      </c>
      <c r="O368" s="132">
        <v>1036.82</v>
      </c>
      <c r="P368" s="132">
        <v>20.68</v>
      </c>
      <c r="Q368" s="35"/>
      <c r="R368" s="132">
        <v>20.68</v>
      </c>
      <c r="S368" s="35" t="s">
        <v>161</v>
      </c>
      <c r="T368" s="194">
        <v>4.34</v>
      </c>
      <c r="U368" s="35"/>
    </row>
    <row r="369" spans="1:21" ht="15.75" customHeight="1">
      <c r="A369" s="193">
        <v>77</v>
      </c>
      <c r="B369" s="186">
        <v>2</v>
      </c>
      <c r="C369" s="132" t="s">
        <v>186</v>
      </c>
      <c r="D369" s="35"/>
      <c r="E369" s="132">
        <v>25</v>
      </c>
      <c r="F369" s="132" t="s">
        <v>165</v>
      </c>
      <c r="G369" s="132">
        <v>2</v>
      </c>
      <c r="H369" s="132" t="s">
        <v>166</v>
      </c>
      <c r="I369" s="132" t="s">
        <v>189</v>
      </c>
      <c r="J369" s="132">
        <v>0.5</v>
      </c>
      <c r="K369" s="35"/>
      <c r="L369" s="35"/>
      <c r="M369" s="35"/>
      <c r="N369" s="132" t="s">
        <v>162</v>
      </c>
      <c r="O369" s="132">
        <v>884.45</v>
      </c>
      <c r="P369" s="132">
        <v>19.22</v>
      </c>
      <c r="Q369" s="35"/>
      <c r="R369" s="132">
        <v>19.22</v>
      </c>
      <c r="S369" s="35" t="s">
        <v>161</v>
      </c>
      <c r="T369" s="194">
        <v>5.0999999999999996</v>
      </c>
      <c r="U369" s="35"/>
    </row>
    <row r="370" spans="1:21" ht="15.75" customHeight="1">
      <c r="A370" s="193">
        <v>77</v>
      </c>
      <c r="B370" s="186">
        <v>3</v>
      </c>
      <c r="C370" s="132" t="s">
        <v>186</v>
      </c>
      <c r="D370" s="35"/>
      <c r="E370" s="132">
        <v>25</v>
      </c>
      <c r="F370" s="132" t="s">
        <v>165</v>
      </c>
      <c r="G370" s="132">
        <v>2</v>
      </c>
      <c r="H370" s="132" t="s">
        <v>166</v>
      </c>
      <c r="I370" s="132" t="s">
        <v>189</v>
      </c>
      <c r="J370" s="132">
        <v>0.5</v>
      </c>
      <c r="K370" s="35"/>
      <c r="L370" s="35"/>
      <c r="M370" s="35"/>
      <c r="N370" s="132" t="s">
        <v>162</v>
      </c>
      <c r="O370" s="132">
        <v>938.34</v>
      </c>
      <c r="P370" s="132">
        <v>19.440000000000001</v>
      </c>
      <c r="Q370" s="35"/>
      <c r="R370" s="132">
        <v>19.440000000000001</v>
      </c>
      <c r="S370" s="35" t="s">
        <v>161</v>
      </c>
      <c r="T370" s="194">
        <v>5.48</v>
      </c>
      <c r="U370" s="35"/>
    </row>
    <row r="371" spans="1:21" ht="15.75" customHeight="1">
      <c r="A371" s="193">
        <v>77</v>
      </c>
      <c r="B371" s="186">
        <v>4</v>
      </c>
      <c r="C371" s="132" t="s">
        <v>186</v>
      </c>
      <c r="D371" s="35"/>
      <c r="E371" s="132">
        <v>25</v>
      </c>
      <c r="F371" s="132" t="s">
        <v>165</v>
      </c>
      <c r="G371" s="132">
        <v>2</v>
      </c>
      <c r="H371" s="132" t="s">
        <v>166</v>
      </c>
      <c r="I371" s="132" t="s">
        <v>189</v>
      </c>
      <c r="J371" s="132">
        <v>0.5</v>
      </c>
      <c r="K371" s="35"/>
      <c r="L371" s="35"/>
      <c r="M371" s="35"/>
      <c r="N371" s="132" t="s">
        <v>162</v>
      </c>
      <c r="O371" s="132">
        <v>943.91</v>
      </c>
      <c r="P371" s="132">
        <v>20.18</v>
      </c>
      <c r="Q371" s="35"/>
      <c r="R371" s="132">
        <v>20.18</v>
      </c>
      <c r="S371" s="35" t="s">
        <v>161</v>
      </c>
      <c r="T371" s="194">
        <v>6.3</v>
      </c>
      <c r="U371" s="35"/>
    </row>
    <row r="372" spans="1:21" ht="15.75" customHeight="1">
      <c r="A372" s="193">
        <v>77</v>
      </c>
      <c r="B372" s="186">
        <v>5</v>
      </c>
      <c r="C372" s="132" t="s">
        <v>186</v>
      </c>
      <c r="D372" s="35"/>
      <c r="E372" s="132">
        <v>25</v>
      </c>
      <c r="F372" s="132" t="s">
        <v>165</v>
      </c>
      <c r="G372" s="132">
        <v>2</v>
      </c>
      <c r="H372" s="132" t="s">
        <v>166</v>
      </c>
      <c r="I372" s="132" t="s">
        <v>189</v>
      </c>
      <c r="J372" s="132">
        <v>0.5</v>
      </c>
      <c r="K372" s="35"/>
      <c r="L372" s="35"/>
      <c r="M372" s="35"/>
      <c r="N372" s="132" t="s">
        <v>162</v>
      </c>
      <c r="O372" s="132">
        <v>871.45</v>
      </c>
      <c r="P372" s="132">
        <v>19.25</v>
      </c>
      <c r="Q372" s="35"/>
      <c r="R372" s="132">
        <v>19.25</v>
      </c>
      <c r="S372" s="35" t="s">
        <v>161</v>
      </c>
      <c r="T372" s="194">
        <v>5.97</v>
      </c>
      <c r="U372" s="35"/>
    </row>
    <row r="373" spans="1:21" ht="15.75" customHeight="1">
      <c r="A373" s="193">
        <v>77</v>
      </c>
      <c r="B373" s="186">
        <v>6</v>
      </c>
      <c r="C373" s="132" t="s">
        <v>186</v>
      </c>
      <c r="D373" s="35"/>
      <c r="E373" s="132">
        <v>25</v>
      </c>
      <c r="F373" s="132" t="s">
        <v>165</v>
      </c>
      <c r="G373" s="132">
        <v>2</v>
      </c>
      <c r="H373" s="132" t="s">
        <v>166</v>
      </c>
      <c r="I373" s="132" t="s">
        <v>189</v>
      </c>
      <c r="J373" s="132">
        <v>0.5</v>
      </c>
      <c r="K373" s="35"/>
      <c r="L373" s="35"/>
      <c r="M373" s="35"/>
      <c r="N373" s="132" t="s">
        <v>162</v>
      </c>
      <c r="O373" s="132">
        <v>732.09</v>
      </c>
      <c r="P373" s="132">
        <v>16.899999999999999</v>
      </c>
      <c r="Q373" s="35"/>
      <c r="R373" s="132">
        <v>16.899999999999999</v>
      </c>
      <c r="S373" s="35" t="s">
        <v>161</v>
      </c>
      <c r="T373" s="194">
        <v>4.75</v>
      </c>
      <c r="U373" s="35"/>
    </row>
    <row r="374" spans="1:21" ht="15.75" customHeight="1">
      <c r="A374" s="193">
        <v>77</v>
      </c>
      <c r="B374" s="186">
        <v>7</v>
      </c>
      <c r="C374" s="132" t="s">
        <v>186</v>
      </c>
      <c r="D374" s="35"/>
      <c r="E374" s="132">
        <v>25</v>
      </c>
      <c r="F374" s="132" t="s">
        <v>165</v>
      </c>
      <c r="G374" s="132">
        <v>2</v>
      </c>
      <c r="H374" s="132" t="s">
        <v>166</v>
      </c>
      <c r="I374" s="132" t="s">
        <v>189</v>
      </c>
      <c r="J374" s="132">
        <v>0.5</v>
      </c>
      <c r="K374" s="35"/>
      <c r="L374" s="35"/>
      <c r="M374" s="35"/>
      <c r="N374" s="132" t="s">
        <v>162</v>
      </c>
      <c r="O374" s="132">
        <v>707.93</v>
      </c>
      <c r="P374" s="132">
        <v>14.93</v>
      </c>
      <c r="Q374" s="35"/>
      <c r="R374" s="132">
        <v>14.93</v>
      </c>
      <c r="S374" s="35" t="s">
        <v>161</v>
      </c>
      <c r="T374" s="194">
        <v>3.99</v>
      </c>
      <c r="U374" s="35"/>
    </row>
    <row r="375" spans="1:21" ht="15.75" customHeight="1">
      <c r="A375" s="193">
        <v>77</v>
      </c>
      <c r="B375" s="186">
        <v>8</v>
      </c>
      <c r="C375" s="132" t="s">
        <v>186</v>
      </c>
      <c r="D375" s="35"/>
      <c r="E375" s="132">
        <v>25</v>
      </c>
      <c r="F375" s="132" t="s">
        <v>165</v>
      </c>
      <c r="G375" s="132">
        <v>2</v>
      </c>
      <c r="H375" s="132" t="s">
        <v>166</v>
      </c>
      <c r="I375" s="132" t="s">
        <v>189</v>
      </c>
      <c r="J375" s="132">
        <v>0.5</v>
      </c>
      <c r="K375" s="35"/>
      <c r="L375" s="35"/>
      <c r="M375" s="35"/>
      <c r="N375" s="132" t="s">
        <v>162</v>
      </c>
      <c r="O375" s="35">
        <v>756.25</v>
      </c>
      <c r="P375" s="132">
        <v>17.64</v>
      </c>
      <c r="Q375" s="35"/>
      <c r="R375" s="132">
        <v>17.64</v>
      </c>
      <c r="S375" s="35" t="s">
        <v>161</v>
      </c>
      <c r="T375" s="194">
        <v>5.92</v>
      </c>
      <c r="U375" s="35"/>
    </row>
    <row r="376" spans="1:21" ht="15.75" customHeight="1" thickBot="1">
      <c r="A376" s="191">
        <v>77</v>
      </c>
      <c r="B376" s="188">
        <v>9</v>
      </c>
      <c r="C376" s="200" t="s">
        <v>186</v>
      </c>
      <c r="D376" s="190"/>
      <c r="E376" s="189">
        <v>25</v>
      </c>
      <c r="F376" s="189" t="s">
        <v>165</v>
      </c>
      <c r="G376" s="189">
        <v>2</v>
      </c>
      <c r="H376" s="189" t="s">
        <v>166</v>
      </c>
      <c r="I376" s="189" t="s">
        <v>189</v>
      </c>
      <c r="J376" s="189">
        <v>0.5</v>
      </c>
      <c r="K376" s="190"/>
      <c r="L376" s="190"/>
      <c r="M376" s="190"/>
      <c r="N376" s="189" t="s">
        <v>162</v>
      </c>
      <c r="O376" s="189">
        <v>694.93</v>
      </c>
      <c r="P376" s="189">
        <v>15.69</v>
      </c>
      <c r="Q376" s="190"/>
      <c r="R376" s="189">
        <v>15.69</v>
      </c>
      <c r="S376" s="337" t="s">
        <v>161</v>
      </c>
      <c r="T376" s="196">
        <v>6.1</v>
      </c>
      <c r="U376" s="35"/>
    </row>
    <row r="377" spans="1:21" ht="15.75" customHeight="1">
      <c r="A377" s="193">
        <v>78</v>
      </c>
      <c r="B377" s="186">
        <v>1</v>
      </c>
    </row>
    <row r="378" spans="1:21" ht="15.75" customHeight="1">
      <c r="A378" s="193">
        <v>78</v>
      </c>
      <c r="B378" s="186">
        <v>2</v>
      </c>
    </row>
    <row r="379" spans="1:21" ht="15.75" customHeight="1">
      <c r="A379" s="193">
        <v>78</v>
      </c>
      <c r="B379" s="186">
        <v>3</v>
      </c>
    </row>
    <row r="380" spans="1:21" ht="15.75" customHeight="1">
      <c r="A380" s="193">
        <v>78</v>
      </c>
      <c r="B380" s="186">
        <v>4</v>
      </c>
    </row>
    <row r="381" spans="1:21" ht="15.75" customHeight="1">
      <c r="A381" s="193">
        <v>78</v>
      </c>
      <c r="B381" s="186">
        <v>5</v>
      </c>
    </row>
    <row r="382" spans="1:21" ht="15.75" customHeight="1">
      <c r="A382" s="193">
        <v>78</v>
      </c>
      <c r="B382" s="186">
        <v>6</v>
      </c>
    </row>
    <row r="383" spans="1:21" ht="15.75" customHeight="1">
      <c r="A383" s="193">
        <v>78</v>
      </c>
      <c r="B383" s="186">
        <v>7</v>
      </c>
    </row>
    <row r="384" spans="1:21" ht="15.75" customHeight="1">
      <c r="A384" s="193">
        <v>78</v>
      </c>
      <c r="B384" s="186">
        <v>8</v>
      </c>
    </row>
    <row r="385" spans="1:20" ht="15.75" customHeight="1">
      <c r="A385" s="193">
        <v>78</v>
      </c>
      <c r="B385" s="186">
        <v>9</v>
      </c>
    </row>
    <row r="386" spans="1:20" ht="15.75" customHeight="1">
      <c r="A386" s="193">
        <v>78</v>
      </c>
      <c r="B386" s="186">
        <v>10</v>
      </c>
    </row>
    <row r="387" spans="1:20" ht="15.75" customHeight="1">
      <c r="A387" s="193">
        <v>78</v>
      </c>
      <c r="B387" s="186">
        <v>11</v>
      </c>
    </row>
    <row r="388" spans="1:20" ht="15.75" customHeight="1">
      <c r="A388" s="193">
        <v>78</v>
      </c>
      <c r="B388" s="186">
        <v>12</v>
      </c>
    </row>
    <row r="389" spans="1:20" ht="15.75" customHeight="1">
      <c r="A389" s="193">
        <v>78</v>
      </c>
      <c r="B389" s="186">
        <v>13</v>
      </c>
    </row>
    <row r="390" spans="1:20" ht="15.75" customHeight="1">
      <c r="A390" s="193">
        <v>78</v>
      </c>
      <c r="B390" s="186">
        <v>14</v>
      </c>
    </row>
    <row r="391" spans="1:20" ht="15.75" customHeight="1">
      <c r="A391" s="193">
        <v>78</v>
      </c>
      <c r="B391" s="186">
        <v>15</v>
      </c>
    </row>
    <row r="392" spans="1:20" ht="15.75" customHeight="1" thickBot="1">
      <c r="A392" s="191">
        <v>78</v>
      </c>
      <c r="B392" s="188">
        <v>16</v>
      </c>
    </row>
    <row r="393" spans="1:20" ht="15.75" customHeight="1">
      <c r="A393" s="193">
        <v>79</v>
      </c>
      <c r="B393" s="184">
        <v>1</v>
      </c>
      <c r="C393" s="176"/>
      <c r="D393" s="176"/>
      <c r="E393" s="174">
        <v>25</v>
      </c>
      <c r="F393" s="174" t="s">
        <v>165</v>
      </c>
      <c r="G393" s="176"/>
      <c r="H393" s="176"/>
      <c r="I393" s="176"/>
      <c r="J393" s="176"/>
      <c r="K393" s="174">
        <v>5</v>
      </c>
      <c r="L393" s="174">
        <v>3</v>
      </c>
      <c r="M393" s="174">
        <v>0.12</v>
      </c>
      <c r="N393" s="174" t="s">
        <v>162</v>
      </c>
      <c r="O393" s="176"/>
      <c r="P393" s="176">
        <v>23.1</v>
      </c>
      <c r="Q393" s="176"/>
      <c r="R393" s="176"/>
      <c r="S393" s="174" t="s">
        <v>161</v>
      </c>
      <c r="T393" s="31">
        <v>24</v>
      </c>
    </row>
    <row r="394" spans="1:20" ht="15.75" customHeight="1">
      <c r="A394" s="193">
        <v>79</v>
      </c>
      <c r="B394" s="186">
        <v>2</v>
      </c>
      <c r="C394" s="35"/>
      <c r="D394" s="35"/>
      <c r="E394" s="132">
        <v>25</v>
      </c>
      <c r="F394" s="132" t="s">
        <v>165</v>
      </c>
      <c r="G394" s="35"/>
      <c r="H394" s="35"/>
      <c r="I394" s="35"/>
      <c r="J394" s="35"/>
      <c r="K394" s="132">
        <v>5</v>
      </c>
      <c r="L394" s="132">
        <v>3</v>
      </c>
      <c r="M394" s="132">
        <v>0.12</v>
      </c>
      <c r="N394" s="132" t="s">
        <v>162</v>
      </c>
      <c r="O394" s="35"/>
      <c r="P394" s="35">
        <v>24</v>
      </c>
      <c r="Q394" s="35"/>
      <c r="R394" s="35"/>
      <c r="S394" s="132" t="s">
        <v>161</v>
      </c>
      <c r="T394" s="36">
        <v>20.8</v>
      </c>
    </row>
    <row r="395" spans="1:20" ht="15.75" customHeight="1">
      <c r="A395" s="193">
        <v>79</v>
      </c>
      <c r="B395" s="186">
        <v>3</v>
      </c>
      <c r="C395" s="35"/>
      <c r="D395" s="35"/>
      <c r="E395" s="132">
        <v>25</v>
      </c>
      <c r="F395" s="132" t="s">
        <v>165</v>
      </c>
      <c r="G395" s="35"/>
      <c r="H395" s="35"/>
      <c r="I395" s="35"/>
      <c r="J395" s="35"/>
      <c r="K395" s="132">
        <v>5</v>
      </c>
      <c r="L395" s="132">
        <v>3</v>
      </c>
      <c r="M395" s="132">
        <v>0.12</v>
      </c>
      <c r="N395" s="132" t="s">
        <v>162</v>
      </c>
      <c r="O395" s="35"/>
      <c r="P395" s="35">
        <v>22.5</v>
      </c>
      <c r="Q395" s="35"/>
      <c r="R395" s="35"/>
      <c r="S395" s="132" t="s">
        <v>161</v>
      </c>
      <c r="T395" s="36">
        <v>18.899999999999999</v>
      </c>
    </row>
    <row r="396" spans="1:20" ht="15.75" customHeight="1" thickBot="1">
      <c r="A396" s="191">
        <v>79</v>
      </c>
      <c r="B396" s="188">
        <v>4</v>
      </c>
      <c r="C396" s="190"/>
      <c r="D396" s="190"/>
      <c r="E396" s="189">
        <v>25</v>
      </c>
      <c r="F396" s="189" t="s">
        <v>165</v>
      </c>
      <c r="G396" s="190"/>
      <c r="H396" s="190"/>
      <c r="I396" s="190"/>
      <c r="J396" s="190"/>
      <c r="K396" s="189">
        <v>5</v>
      </c>
      <c r="L396" s="189">
        <v>3</v>
      </c>
      <c r="M396" s="189">
        <v>0.12</v>
      </c>
      <c r="N396" s="189" t="s">
        <v>162</v>
      </c>
      <c r="O396" s="190"/>
      <c r="P396" s="190">
        <v>23.1</v>
      </c>
      <c r="Q396" s="190"/>
      <c r="R396" s="190"/>
      <c r="S396" s="189" t="s">
        <v>161</v>
      </c>
      <c r="T396" s="38">
        <v>10</v>
      </c>
    </row>
    <row r="397" spans="1:20" ht="15.75" customHeight="1">
      <c r="A397" s="193">
        <v>80</v>
      </c>
      <c r="B397" s="186">
        <v>1</v>
      </c>
      <c r="C397" s="35"/>
      <c r="D397" s="132" t="s">
        <v>183</v>
      </c>
      <c r="E397" s="132">
        <v>25</v>
      </c>
      <c r="F397" s="132" t="s">
        <v>165</v>
      </c>
      <c r="G397" s="132">
        <v>10</v>
      </c>
      <c r="H397" s="132" t="s">
        <v>166</v>
      </c>
      <c r="I397" s="132" t="s">
        <v>190</v>
      </c>
      <c r="J397" s="35"/>
      <c r="K397" s="35"/>
      <c r="L397" s="35"/>
      <c r="M397" s="132">
        <v>0.4</v>
      </c>
      <c r="N397" s="132" t="s">
        <v>162</v>
      </c>
      <c r="O397" s="132">
        <v>1430.23</v>
      </c>
      <c r="P397" s="132">
        <v>25.96</v>
      </c>
      <c r="Q397" s="35"/>
      <c r="R397" s="35"/>
      <c r="S397" s="132" t="s">
        <v>161</v>
      </c>
      <c r="T397" s="194">
        <v>4.95</v>
      </c>
    </row>
    <row r="398" spans="1:20" ht="15.75" customHeight="1">
      <c r="A398" s="193">
        <v>80</v>
      </c>
      <c r="B398" s="186">
        <v>2</v>
      </c>
      <c r="C398" s="35"/>
      <c r="D398" s="132" t="s">
        <v>183</v>
      </c>
      <c r="E398" s="132">
        <v>25</v>
      </c>
      <c r="F398" s="132" t="s">
        <v>165</v>
      </c>
      <c r="G398" s="132">
        <v>10</v>
      </c>
      <c r="H398" s="132" t="s">
        <v>166</v>
      </c>
      <c r="I398" s="132" t="s">
        <v>190</v>
      </c>
      <c r="J398" s="35"/>
      <c r="K398" s="35"/>
      <c r="L398" s="35"/>
      <c r="M398" s="132">
        <v>0.4</v>
      </c>
      <c r="N398" s="132" t="s">
        <v>162</v>
      </c>
      <c r="O398" s="132">
        <v>1744.2</v>
      </c>
      <c r="P398" s="132">
        <v>21.86</v>
      </c>
      <c r="Q398" s="35"/>
      <c r="R398" s="35"/>
      <c r="S398" s="132" t="s">
        <v>161</v>
      </c>
      <c r="T398" s="194">
        <v>3.13</v>
      </c>
    </row>
    <row r="399" spans="1:20" ht="15.75" customHeight="1">
      <c r="A399" s="193">
        <v>80</v>
      </c>
      <c r="B399" s="186">
        <v>3</v>
      </c>
      <c r="C399" s="35"/>
      <c r="D399" s="132" t="s">
        <v>183</v>
      </c>
      <c r="E399" s="132">
        <v>25</v>
      </c>
      <c r="F399" s="132" t="s">
        <v>165</v>
      </c>
      <c r="G399" s="132">
        <v>10</v>
      </c>
      <c r="H399" s="132" t="s">
        <v>166</v>
      </c>
      <c r="I399" s="132" t="s">
        <v>190</v>
      </c>
      <c r="J399" s="35"/>
      <c r="K399" s="35"/>
      <c r="L399" s="35"/>
      <c r="M399" s="132">
        <v>0.4</v>
      </c>
      <c r="N399" s="132" t="s">
        <v>162</v>
      </c>
      <c r="O399" s="132">
        <v>1825</v>
      </c>
      <c r="P399" s="132">
        <v>22.06</v>
      </c>
      <c r="Q399" s="35"/>
      <c r="R399" s="35"/>
      <c r="S399" s="132" t="s">
        <v>161</v>
      </c>
      <c r="T399" s="194">
        <v>2.94</v>
      </c>
    </row>
    <row r="400" spans="1:20" ht="15.75" customHeight="1">
      <c r="A400" s="193">
        <v>80</v>
      </c>
      <c r="B400" s="186">
        <v>4</v>
      </c>
      <c r="C400" s="35"/>
      <c r="D400" s="132" t="s">
        <v>183</v>
      </c>
      <c r="E400" s="132">
        <v>25</v>
      </c>
      <c r="F400" s="132" t="s">
        <v>165</v>
      </c>
      <c r="G400" s="132">
        <v>10</v>
      </c>
      <c r="H400" s="132" t="s">
        <v>166</v>
      </c>
      <c r="I400" s="132" t="s">
        <v>190</v>
      </c>
      <c r="J400" s="35"/>
      <c r="K400" s="35"/>
      <c r="L400" s="35"/>
      <c r="M400" s="132">
        <v>0.4</v>
      </c>
      <c r="N400" s="132" t="s">
        <v>162</v>
      </c>
      <c r="O400" s="132">
        <v>1616.2</v>
      </c>
      <c r="P400" s="132">
        <v>19.3</v>
      </c>
      <c r="Q400" s="35"/>
      <c r="R400" s="35"/>
      <c r="S400" s="132" t="s">
        <v>161</v>
      </c>
      <c r="T400" s="194">
        <v>2.9</v>
      </c>
    </row>
    <row r="401" spans="1:20" s="230" customFormat="1" ht="15.75" customHeight="1" thickBot="1">
      <c r="A401" s="191">
        <v>80</v>
      </c>
      <c r="B401" s="188">
        <v>5</v>
      </c>
      <c r="C401" s="190"/>
      <c r="D401" s="189" t="s">
        <v>183</v>
      </c>
      <c r="E401" s="189">
        <v>25</v>
      </c>
      <c r="F401" s="189" t="s">
        <v>165</v>
      </c>
      <c r="G401" s="189">
        <v>10</v>
      </c>
      <c r="H401" s="189" t="s">
        <v>166</v>
      </c>
      <c r="I401" s="189" t="s">
        <v>190</v>
      </c>
      <c r="J401" s="190"/>
      <c r="K401" s="190"/>
      <c r="L401" s="190"/>
      <c r="M401" s="189">
        <v>0.4</v>
      </c>
      <c r="N401" s="189" t="s">
        <v>162</v>
      </c>
      <c r="O401" s="189">
        <v>2011.62</v>
      </c>
      <c r="P401" s="189">
        <v>21.8</v>
      </c>
      <c r="Q401" s="190"/>
      <c r="R401" s="190"/>
      <c r="S401" s="189" t="s">
        <v>161</v>
      </c>
      <c r="T401" s="196">
        <v>2.81</v>
      </c>
    </row>
    <row r="402" spans="1:20" ht="15.75" customHeight="1">
      <c r="A402" s="193">
        <v>81</v>
      </c>
      <c r="B402" s="186">
        <v>1</v>
      </c>
      <c r="C402" s="35"/>
      <c r="D402" s="35"/>
      <c r="E402" s="132">
        <v>25</v>
      </c>
      <c r="F402" s="132" t="s">
        <v>165</v>
      </c>
      <c r="G402" s="132">
        <v>2</v>
      </c>
      <c r="H402" s="132" t="s">
        <v>166</v>
      </c>
      <c r="I402" s="132" t="s">
        <v>191</v>
      </c>
      <c r="J402" s="35"/>
      <c r="K402" s="132">
        <v>50</v>
      </c>
      <c r="L402" s="132">
        <v>4</v>
      </c>
      <c r="M402" s="132">
        <v>0.15</v>
      </c>
      <c r="N402" s="132" t="s">
        <v>162</v>
      </c>
      <c r="O402" s="35">
        <v>3144</v>
      </c>
      <c r="P402" s="35">
        <v>29.6</v>
      </c>
      <c r="Q402" s="35"/>
      <c r="R402" s="35"/>
      <c r="S402" s="132" t="s">
        <v>161</v>
      </c>
      <c r="T402" s="36">
        <v>1.54</v>
      </c>
    </row>
    <row r="403" spans="1:20" ht="15.75" customHeight="1">
      <c r="A403" s="193">
        <v>81</v>
      </c>
      <c r="B403" s="186">
        <v>2</v>
      </c>
      <c r="C403" s="35"/>
      <c r="D403" s="35"/>
      <c r="E403" s="132"/>
      <c r="F403" s="132"/>
      <c r="G403" s="132"/>
      <c r="H403" s="132"/>
      <c r="I403" s="132"/>
      <c r="J403" s="35"/>
      <c r="K403" s="35"/>
      <c r="L403" s="35"/>
      <c r="M403" s="35"/>
      <c r="N403" s="132"/>
      <c r="O403" s="35"/>
      <c r="P403" s="35"/>
      <c r="Q403" s="35"/>
      <c r="R403" s="35"/>
      <c r="S403" s="132" t="s">
        <v>161</v>
      </c>
      <c r="T403" s="36"/>
    </row>
    <row r="404" spans="1:20" ht="15.75" customHeight="1">
      <c r="A404" s="193">
        <v>81</v>
      </c>
      <c r="B404" s="186">
        <v>3</v>
      </c>
      <c r="C404" s="35"/>
      <c r="D404" s="35"/>
      <c r="E404" s="132"/>
      <c r="F404" s="132"/>
      <c r="G404" s="132"/>
      <c r="H404" s="132"/>
      <c r="I404" s="132"/>
      <c r="J404" s="35"/>
      <c r="K404" s="132"/>
      <c r="L404" s="35"/>
      <c r="M404" s="35"/>
      <c r="N404" s="132"/>
      <c r="O404" s="35"/>
      <c r="P404" s="35"/>
      <c r="Q404" s="35"/>
      <c r="R404" s="35"/>
      <c r="S404" s="132" t="s">
        <v>161</v>
      </c>
      <c r="T404" s="36"/>
    </row>
    <row r="405" spans="1:20" ht="15.75" customHeight="1">
      <c r="A405" s="193">
        <v>81</v>
      </c>
      <c r="B405" s="186">
        <v>4</v>
      </c>
      <c r="C405" s="35"/>
      <c r="D405" s="35"/>
      <c r="E405" s="132">
        <v>25</v>
      </c>
      <c r="F405" s="132" t="s">
        <v>165</v>
      </c>
      <c r="G405" s="132">
        <v>2</v>
      </c>
      <c r="H405" s="132" t="s">
        <v>166</v>
      </c>
      <c r="I405" s="132" t="s">
        <v>191</v>
      </c>
      <c r="J405" s="35"/>
      <c r="K405" s="132">
        <v>50</v>
      </c>
      <c r="L405" s="132">
        <v>4</v>
      </c>
      <c r="M405" s="132">
        <v>0.15</v>
      </c>
      <c r="N405" s="132" t="s">
        <v>162</v>
      </c>
      <c r="O405" s="35">
        <v>2847</v>
      </c>
      <c r="P405" s="35">
        <v>21.6</v>
      </c>
      <c r="Q405" s="35"/>
      <c r="R405" s="35"/>
      <c r="S405" s="132" t="s">
        <v>161</v>
      </c>
      <c r="T405" s="36">
        <v>0.92</v>
      </c>
    </row>
    <row r="406" spans="1:20" ht="15.75" customHeight="1" thickBot="1">
      <c r="A406" s="191">
        <v>81</v>
      </c>
      <c r="B406" s="188">
        <v>5</v>
      </c>
      <c r="C406" s="190"/>
      <c r="D406" s="190"/>
      <c r="E406" s="189">
        <v>25</v>
      </c>
      <c r="F406" s="189" t="s">
        <v>165</v>
      </c>
      <c r="G406" s="189">
        <v>2</v>
      </c>
      <c r="H406" s="189" t="s">
        <v>166</v>
      </c>
      <c r="I406" s="189" t="s">
        <v>191</v>
      </c>
      <c r="J406" s="190"/>
      <c r="K406" s="189">
        <v>50</v>
      </c>
      <c r="L406" s="189">
        <v>4</v>
      </c>
      <c r="M406" s="189">
        <v>0.15</v>
      </c>
      <c r="N406" s="189" t="s">
        <v>162</v>
      </c>
      <c r="O406" s="190">
        <v>2554</v>
      </c>
      <c r="P406" s="190">
        <v>11.6</v>
      </c>
      <c r="Q406" s="190"/>
      <c r="R406" s="190"/>
      <c r="S406" s="189" t="s">
        <v>161</v>
      </c>
      <c r="T406" s="38">
        <v>0.55000000000000004</v>
      </c>
    </row>
    <row r="407" spans="1:20" ht="15.75" customHeight="1">
      <c r="A407" s="193">
        <v>82</v>
      </c>
      <c r="B407" s="186">
        <v>1</v>
      </c>
      <c r="C407" s="35"/>
      <c r="D407" s="35"/>
      <c r="E407" s="35"/>
      <c r="F407" s="35"/>
      <c r="G407" s="132">
        <v>10</v>
      </c>
      <c r="H407" s="132" t="s">
        <v>166</v>
      </c>
      <c r="I407" s="132" t="s">
        <v>190</v>
      </c>
      <c r="J407" s="35"/>
      <c r="K407" s="35"/>
      <c r="L407" s="132">
        <v>4</v>
      </c>
      <c r="M407" s="35"/>
      <c r="N407" s="132" t="s">
        <v>162</v>
      </c>
      <c r="O407" s="132">
        <v>1142.4100000000001</v>
      </c>
      <c r="P407" s="132">
        <v>17.77</v>
      </c>
      <c r="Q407" s="35"/>
      <c r="R407" s="35"/>
      <c r="S407" s="35"/>
      <c r="T407" s="194">
        <v>6.68</v>
      </c>
    </row>
    <row r="408" spans="1:20" ht="15.75" customHeight="1">
      <c r="A408" s="193">
        <v>82</v>
      </c>
      <c r="B408" s="186">
        <v>2</v>
      </c>
      <c r="C408" s="35"/>
      <c r="D408" s="35"/>
      <c r="E408" s="35"/>
      <c r="F408" s="35"/>
      <c r="G408" s="132">
        <v>10</v>
      </c>
      <c r="H408" s="132" t="s">
        <v>166</v>
      </c>
      <c r="I408" s="132" t="s">
        <v>190</v>
      </c>
      <c r="J408" s="35"/>
      <c r="K408" s="35"/>
      <c r="L408" s="132">
        <v>4</v>
      </c>
      <c r="M408" s="35"/>
      <c r="N408" s="132" t="s">
        <v>162</v>
      </c>
      <c r="O408" s="132">
        <v>581.77</v>
      </c>
      <c r="P408" s="132">
        <v>20.73</v>
      </c>
      <c r="Q408" s="35"/>
      <c r="R408" s="35"/>
      <c r="S408" s="35"/>
      <c r="T408" s="194">
        <v>414.56</v>
      </c>
    </row>
    <row r="409" spans="1:20" ht="15.75" customHeight="1">
      <c r="A409" s="193">
        <v>82</v>
      </c>
      <c r="B409" s="186">
        <v>3</v>
      </c>
      <c r="C409" s="35"/>
      <c r="D409" s="35"/>
      <c r="E409" s="35"/>
      <c r="F409" s="35"/>
      <c r="G409" s="132">
        <v>10</v>
      </c>
      <c r="H409" s="132" t="s">
        <v>166</v>
      </c>
      <c r="I409" s="132" t="s">
        <v>190</v>
      </c>
      <c r="J409" s="35"/>
      <c r="K409" s="35"/>
      <c r="L409" s="132">
        <v>4</v>
      </c>
      <c r="M409" s="35"/>
      <c r="N409" s="132" t="s">
        <v>162</v>
      </c>
      <c r="O409" s="132">
        <v>120.88</v>
      </c>
      <c r="P409" s="132">
        <v>8.07</v>
      </c>
      <c r="Q409" s="35"/>
      <c r="R409" s="35"/>
      <c r="S409" s="35"/>
      <c r="T409" s="194">
        <v>594.61</v>
      </c>
    </row>
    <row r="410" spans="1:20" ht="15.75" customHeight="1">
      <c r="A410" s="193">
        <v>82</v>
      </c>
      <c r="B410" s="186">
        <v>4</v>
      </c>
      <c r="C410" s="35"/>
      <c r="D410" s="35"/>
      <c r="E410" s="35"/>
      <c r="F410" s="35"/>
      <c r="G410" s="132">
        <v>10</v>
      </c>
      <c r="H410" s="132" t="s">
        <v>166</v>
      </c>
      <c r="I410" s="132" t="s">
        <v>190</v>
      </c>
      <c r="J410" s="35"/>
      <c r="K410" s="35"/>
      <c r="L410" s="132">
        <v>4</v>
      </c>
      <c r="M410" s="35"/>
      <c r="N410" s="132" t="s">
        <v>162</v>
      </c>
      <c r="O410" s="132">
        <v>507</v>
      </c>
      <c r="P410" s="132">
        <v>18.75</v>
      </c>
      <c r="Q410" s="35"/>
      <c r="R410" s="35"/>
      <c r="S410" s="35"/>
      <c r="T410" s="194">
        <v>395.16</v>
      </c>
    </row>
    <row r="411" spans="1:20" ht="15.75" customHeight="1" thickBot="1">
      <c r="A411" s="191">
        <v>82</v>
      </c>
      <c r="B411" s="188">
        <v>5</v>
      </c>
      <c r="C411" s="190"/>
      <c r="D411" s="190"/>
      <c r="E411" s="190"/>
      <c r="F411" s="190"/>
      <c r="G411" s="189">
        <v>10</v>
      </c>
      <c r="H411" s="189" t="s">
        <v>166</v>
      </c>
      <c r="I411" s="189" t="s">
        <v>190</v>
      </c>
      <c r="J411" s="190"/>
      <c r="K411" s="190"/>
      <c r="L411" s="189">
        <v>4</v>
      </c>
      <c r="M411" s="190"/>
      <c r="N411" s="189" t="s">
        <v>162</v>
      </c>
      <c r="O411" s="189">
        <v>664.76</v>
      </c>
      <c r="P411" s="189">
        <v>20.53</v>
      </c>
      <c r="Q411" s="190"/>
      <c r="R411" s="190"/>
      <c r="S411" s="190"/>
      <c r="T411" s="196">
        <v>365.75</v>
      </c>
    </row>
    <row r="412" spans="1:20" ht="15.75" customHeight="1">
      <c r="A412" s="193">
        <v>83</v>
      </c>
      <c r="B412" s="186">
        <v>1</v>
      </c>
      <c r="C412" s="35"/>
      <c r="D412" s="132" t="s">
        <v>183</v>
      </c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>
        <v>1550</v>
      </c>
      <c r="P412" s="35">
        <v>29.5</v>
      </c>
      <c r="Q412" s="35"/>
      <c r="R412" s="35"/>
      <c r="S412" s="35"/>
      <c r="T412" s="36">
        <v>3.88</v>
      </c>
    </row>
    <row r="413" spans="1:20" ht="15.75" customHeight="1">
      <c r="A413" s="193">
        <v>83</v>
      </c>
      <c r="B413" s="186">
        <v>2</v>
      </c>
      <c r="C413" s="35"/>
      <c r="D413" s="132" t="s">
        <v>183</v>
      </c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>
        <v>799</v>
      </c>
      <c r="P413" s="35">
        <v>21.08</v>
      </c>
      <c r="Q413" s="35"/>
      <c r="R413" s="35"/>
      <c r="S413" s="35"/>
      <c r="T413" s="36">
        <v>6.02</v>
      </c>
    </row>
    <row r="414" spans="1:20" ht="15.75" customHeight="1">
      <c r="A414" s="193">
        <v>83</v>
      </c>
      <c r="B414" s="186">
        <v>3</v>
      </c>
      <c r="C414" s="35"/>
      <c r="D414" s="132" t="s">
        <v>183</v>
      </c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>
        <v>680</v>
      </c>
      <c r="P414" s="35">
        <v>19.05</v>
      </c>
      <c r="Q414" s="35"/>
      <c r="R414" s="35"/>
      <c r="S414" s="35"/>
      <c r="T414" s="36">
        <v>7.51</v>
      </c>
    </row>
    <row r="415" spans="1:20" ht="15.75" customHeight="1">
      <c r="A415" s="193">
        <v>83</v>
      </c>
      <c r="B415" s="186">
        <v>4</v>
      </c>
      <c r="C415" s="35"/>
      <c r="D415" s="132" t="s">
        <v>183</v>
      </c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>
        <v>868</v>
      </c>
      <c r="P415" s="35">
        <v>19.2</v>
      </c>
      <c r="Q415" s="35"/>
      <c r="R415" s="35"/>
      <c r="S415" s="35"/>
      <c r="T415" s="36">
        <v>5.9</v>
      </c>
    </row>
    <row r="416" spans="1:20" ht="15.75" customHeight="1">
      <c r="A416" s="193">
        <v>83</v>
      </c>
      <c r="B416" s="186">
        <v>5</v>
      </c>
      <c r="C416" s="35"/>
      <c r="D416" s="132" t="s">
        <v>183</v>
      </c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>
        <v>602</v>
      </c>
      <c r="P416" s="35">
        <v>13.8</v>
      </c>
      <c r="Q416" s="35"/>
      <c r="R416" s="35"/>
      <c r="S416" s="35"/>
      <c r="T416" s="36">
        <v>7.51</v>
      </c>
    </row>
    <row r="417" spans="1:20" ht="15.75" customHeight="1">
      <c r="A417" s="193">
        <v>83</v>
      </c>
      <c r="B417" s="186">
        <v>6</v>
      </c>
      <c r="C417" s="35"/>
      <c r="D417" s="132" t="s">
        <v>183</v>
      </c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>
        <v>900</v>
      </c>
      <c r="P417" s="35">
        <v>18.670000000000002</v>
      </c>
      <c r="Q417" s="35"/>
      <c r="R417" s="35"/>
      <c r="S417" s="35"/>
      <c r="T417" s="36">
        <v>5.09</v>
      </c>
    </row>
    <row r="418" spans="1:20" ht="15.75" customHeight="1" thickBot="1">
      <c r="A418" s="191">
        <v>83</v>
      </c>
      <c r="B418" s="188">
        <v>7</v>
      </c>
      <c r="C418" s="190"/>
      <c r="D418" s="189" t="s">
        <v>183</v>
      </c>
      <c r="E418" s="190"/>
      <c r="F418" s="190"/>
      <c r="G418" s="190"/>
      <c r="H418" s="190"/>
      <c r="I418" s="190"/>
      <c r="J418" s="190"/>
      <c r="K418" s="190"/>
      <c r="L418" s="190"/>
      <c r="M418" s="190"/>
      <c r="N418" s="190"/>
      <c r="O418" s="190">
        <v>780</v>
      </c>
      <c r="P418" s="190">
        <v>19.600000000000001</v>
      </c>
      <c r="Q418" s="190"/>
      <c r="R418" s="190"/>
      <c r="S418" s="190"/>
      <c r="T418" s="38">
        <v>7.46</v>
      </c>
    </row>
    <row r="419" spans="1:20" ht="15.75" customHeight="1">
      <c r="A419" s="193">
        <v>84</v>
      </c>
      <c r="B419" s="186">
        <v>1</v>
      </c>
    </row>
    <row r="420" spans="1:20" ht="15.75" customHeight="1">
      <c r="A420" s="193">
        <v>84</v>
      </c>
      <c r="B420" s="186">
        <v>2</v>
      </c>
    </row>
    <row r="421" spans="1:20" ht="15.75" customHeight="1">
      <c r="A421" s="193">
        <v>84</v>
      </c>
      <c r="B421" s="186">
        <v>3</v>
      </c>
    </row>
    <row r="422" spans="1:20" ht="15.75" customHeight="1">
      <c r="A422" s="193">
        <v>84</v>
      </c>
      <c r="B422" s="186">
        <v>4</v>
      </c>
    </row>
    <row r="423" spans="1:20" ht="15.75" customHeight="1">
      <c r="A423" s="193">
        <v>84</v>
      </c>
      <c r="B423" s="186">
        <v>5</v>
      </c>
    </row>
    <row r="424" spans="1:20" ht="15.75" customHeight="1">
      <c r="A424" s="193">
        <v>84</v>
      </c>
      <c r="B424" s="186">
        <v>6</v>
      </c>
    </row>
    <row r="425" spans="1:20" ht="15.75" customHeight="1">
      <c r="A425" s="193">
        <v>84</v>
      </c>
      <c r="B425" s="186">
        <v>7</v>
      </c>
    </row>
    <row r="426" spans="1:20" ht="15.75" customHeight="1">
      <c r="A426" s="193">
        <v>84</v>
      </c>
      <c r="B426" s="186">
        <v>8</v>
      </c>
    </row>
    <row r="427" spans="1:20" ht="15.75" customHeight="1" thickBot="1">
      <c r="A427" s="191">
        <v>84</v>
      </c>
      <c r="B427" s="188">
        <v>9</v>
      </c>
    </row>
    <row r="428" spans="1:20" ht="15.75" customHeight="1">
      <c r="A428" s="219">
        <v>85</v>
      </c>
      <c r="B428" s="184">
        <v>1</v>
      </c>
      <c r="C428" s="176"/>
      <c r="D428" s="176"/>
      <c r="E428" s="174">
        <v>25</v>
      </c>
      <c r="F428" s="174" t="s">
        <v>165</v>
      </c>
      <c r="G428" s="174">
        <v>5</v>
      </c>
      <c r="H428" s="174" t="s">
        <v>166</v>
      </c>
      <c r="I428" s="176"/>
      <c r="J428" s="176"/>
      <c r="K428" s="174">
        <v>10</v>
      </c>
      <c r="L428" s="174">
        <v>6</v>
      </c>
      <c r="M428" s="174">
        <v>0.3</v>
      </c>
      <c r="N428" s="176"/>
      <c r="O428" s="176">
        <v>2356</v>
      </c>
      <c r="P428" s="176">
        <v>23.6</v>
      </c>
      <c r="Q428" s="176"/>
      <c r="R428" s="176">
        <v>23.6</v>
      </c>
      <c r="S428" s="174" t="s">
        <v>161</v>
      </c>
      <c r="T428" s="31">
        <v>5</v>
      </c>
    </row>
    <row r="429" spans="1:20" ht="15.75" customHeight="1">
      <c r="A429" s="193">
        <v>85</v>
      </c>
      <c r="B429" s="186">
        <v>2</v>
      </c>
      <c r="C429" s="35"/>
      <c r="D429" s="35"/>
      <c r="E429" s="132">
        <v>25</v>
      </c>
      <c r="F429" s="132" t="s">
        <v>165</v>
      </c>
      <c r="G429" s="132">
        <v>5</v>
      </c>
      <c r="H429" s="132" t="s">
        <v>166</v>
      </c>
      <c r="I429" s="35"/>
      <c r="J429" s="35"/>
      <c r="K429" s="132">
        <v>10</v>
      </c>
      <c r="L429" s="132">
        <v>6</v>
      </c>
      <c r="M429" s="132">
        <v>0.3</v>
      </c>
      <c r="N429" s="35"/>
      <c r="O429" s="35">
        <v>572.1</v>
      </c>
      <c r="P429" s="35">
        <v>16.5</v>
      </c>
      <c r="Q429" s="35"/>
      <c r="R429" s="35">
        <v>16.5</v>
      </c>
      <c r="S429" s="132" t="s">
        <v>161</v>
      </c>
      <c r="T429" s="36">
        <v>428.6</v>
      </c>
    </row>
    <row r="430" spans="1:20" ht="15.75" customHeight="1">
      <c r="A430" s="193">
        <v>85</v>
      </c>
      <c r="B430" s="186">
        <v>3</v>
      </c>
      <c r="C430" s="35"/>
      <c r="D430" s="35"/>
      <c r="E430" s="132">
        <v>25</v>
      </c>
      <c r="F430" s="132" t="s">
        <v>165</v>
      </c>
      <c r="G430" s="132">
        <v>5</v>
      </c>
      <c r="H430" s="132" t="s">
        <v>166</v>
      </c>
      <c r="I430" s="35"/>
      <c r="J430" s="35"/>
      <c r="K430" s="132">
        <v>10</v>
      </c>
      <c r="L430" s="132">
        <v>6</v>
      </c>
      <c r="M430" s="132">
        <v>0.3</v>
      </c>
      <c r="N430" s="35"/>
      <c r="O430" s="35">
        <v>1489.3</v>
      </c>
      <c r="P430" s="35">
        <v>12.8</v>
      </c>
      <c r="Q430" s="35"/>
      <c r="R430" s="35">
        <v>12.8</v>
      </c>
      <c r="S430" s="132" t="s">
        <v>161</v>
      </c>
      <c r="T430" s="36">
        <v>402.4</v>
      </c>
    </row>
    <row r="431" spans="1:20" ht="15.75" customHeight="1">
      <c r="A431" s="193">
        <v>85</v>
      </c>
      <c r="B431" s="186">
        <v>4</v>
      </c>
      <c r="C431" s="35"/>
      <c r="D431" s="35"/>
      <c r="E431" s="132">
        <v>25</v>
      </c>
      <c r="F431" s="132" t="s">
        <v>165</v>
      </c>
      <c r="G431" s="132">
        <v>5</v>
      </c>
      <c r="H431" s="132" t="s">
        <v>166</v>
      </c>
      <c r="I431" s="35"/>
      <c r="J431" s="35"/>
      <c r="K431" s="132">
        <v>10</v>
      </c>
      <c r="L431" s="132">
        <v>6</v>
      </c>
      <c r="M431" s="132">
        <v>0.3</v>
      </c>
      <c r="N431" s="35"/>
      <c r="O431" s="35">
        <v>1926.5</v>
      </c>
      <c r="P431" s="35">
        <v>12.6</v>
      </c>
      <c r="Q431" s="35"/>
      <c r="R431" s="35">
        <v>12.6</v>
      </c>
      <c r="S431" s="132" t="s">
        <v>161</v>
      </c>
      <c r="T431" s="36">
        <v>125.2</v>
      </c>
    </row>
    <row r="432" spans="1:20" ht="15.75" customHeight="1" thickBot="1">
      <c r="A432" s="191">
        <v>85</v>
      </c>
      <c r="B432" s="188">
        <v>5</v>
      </c>
      <c r="C432" s="190"/>
      <c r="D432" s="190"/>
      <c r="E432" s="189">
        <v>25</v>
      </c>
      <c r="F432" s="189" t="s">
        <v>165</v>
      </c>
      <c r="G432" s="189">
        <v>5</v>
      </c>
      <c r="H432" s="189" t="s">
        <v>166</v>
      </c>
      <c r="I432" s="190"/>
      <c r="J432" s="190"/>
      <c r="K432" s="189">
        <v>10</v>
      </c>
      <c r="L432" s="189">
        <v>6</v>
      </c>
      <c r="M432" s="189">
        <v>0.3</v>
      </c>
      <c r="N432" s="190"/>
      <c r="O432" s="190">
        <v>1254.3</v>
      </c>
      <c r="P432" s="190">
        <v>15.4</v>
      </c>
      <c r="Q432" s="190"/>
      <c r="R432" s="190">
        <v>15.4</v>
      </c>
      <c r="S432" s="189" t="s">
        <v>161</v>
      </c>
      <c r="T432" s="38">
        <v>211.1</v>
      </c>
    </row>
    <row r="433" spans="1:20" ht="15.75" customHeight="1">
      <c r="A433" s="193">
        <v>86</v>
      </c>
      <c r="B433" s="186">
        <v>1</v>
      </c>
      <c r="C433" s="35"/>
      <c r="D433" s="132" t="s">
        <v>173</v>
      </c>
      <c r="E433" s="35"/>
      <c r="F433" s="35"/>
      <c r="G433" s="132">
        <v>50</v>
      </c>
      <c r="H433" s="132" t="s">
        <v>166</v>
      </c>
      <c r="I433" s="132" t="s">
        <v>159</v>
      </c>
      <c r="J433" s="35"/>
      <c r="K433" s="132">
        <v>100</v>
      </c>
      <c r="L433" s="132">
        <v>25</v>
      </c>
      <c r="M433" s="132">
        <v>0.13800000000000001</v>
      </c>
      <c r="N433" s="132" t="s">
        <v>162</v>
      </c>
      <c r="O433" s="132">
        <v>1350</v>
      </c>
      <c r="P433" s="132">
        <v>33</v>
      </c>
      <c r="Q433" s="35"/>
      <c r="R433" s="35"/>
      <c r="S433" s="132" t="s">
        <v>161</v>
      </c>
      <c r="T433" s="194">
        <v>2.7</v>
      </c>
    </row>
    <row r="434" spans="1:20" ht="15.75" customHeight="1">
      <c r="A434" s="193">
        <v>86</v>
      </c>
      <c r="B434" s="186">
        <v>2</v>
      </c>
      <c r="C434" s="35"/>
      <c r="D434" s="132" t="s">
        <v>173</v>
      </c>
      <c r="E434" s="35"/>
      <c r="F434" s="35"/>
      <c r="G434" s="132">
        <v>50</v>
      </c>
      <c r="H434" s="132" t="s">
        <v>166</v>
      </c>
      <c r="I434" s="132" t="s">
        <v>159</v>
      </c>
      <c r="J434" s="35"/>
      <c r="K434" s="132">
        <v>100</v>
      </c>
      <c r="L434" s="132">
        <v>25</v>
      </c>
      <c r="M434" s="132">
        <v>0.13700000000000001</v>
      </c>
      <c r="N434" s="132" t="s">
        <v>162</v>
      </c>
      <c r="O434" s="132">
        <v>1390</v>
      </c>
      <c r="P434" s="132">
        <v>28</v>
      </c>
      <c r="Q434" s="35"/>
      <c r="R434" s="35"/>
      <c r="S434" s="132" t="s">
        <v>161</v>
      </c>
      <c r="T434" s="194">
        <v>2</v>
      </c>
    </row>
    <row r="435" spans="1:20" ht="15.75" customHeight="1" thickBot="1">
      <c r="A435" s="191">
        <v>86</v>
      </c>
      <c r="B435" s="188">
        <v>3</v>
      </c>
      <c r="C435" s="190"/>
      <c r="D435" s="189" t="s">
        <v>173</v>
      </c>
      <c r="E435" s="190"/>
      <c r="F435" s="190"/>
      <c r="G435" s="189">
        <v>50</v>
      </c>
      <c r="H435" s="189" t="s">
        <v>166</v>
      </c>
      <c r="I435" s="189" t="s">
        <v>159</v>
      </c>
      <c r="J435" s="190"/>
      <c r="K435" s="189">
        <v>100</v>
      </c>
      <c r="L435" s="189">
        <v>25</v>
      </c>
      <c r="M435" s="189">
        <v>0.127</v>
      </c>
      <c r="N435" s="189" t="s">
        <v>162</v>
      </c>
      <c r="O435" s="189">
        <v>1330</v>
      </c>
      <c r="P435" s="189">
        <v>23</v>
      </c>
      <c r="Q435" s="190"/>
      <c r="R435" s="190"/>
      <c r="S435" s="189" t="s">
        <v>161</v>
      </c>
      <c r="T435" s="196">
        <v>1.7</v>
      </c>
    </row>
    <row r="436" spans="1:20" ht="15.75" customHeight="1">
      <c r="A436" s="193">
        <v>87</v>
      </c>
      <c r="B436" s="186">
        <v>1</v>
      </c>
      <c r="C436" s="132" t="s">
        <v>192</v>
      </c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132">
        <v>3761</v>
      </c>
      <c r="P436" s="132">
        <v>31.3</v>
      </c>
      <c r="Q436" s="35"/>
      <c r="R436" s="35"/>
      <c r="S436" s="132" t="s">
        <v>193</v>
      </c>
      <c r="T436" s="194">
        <v>0.8</v>
      </c>
    </row>
    <row r="437" spans="1:20" ht="15.75" customHeight="1">
      <c r="A437" s="193">
        <v>87</v>
      </c>
      <c r="B437" s="186">
        <v>2</v>
      </c>
      <c r="C437" s="132" t="s">
        <v>192</v>
      </c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132">
        <v>3540</v>
      </c>
      <c r="P437" s="132">
        <v>25.4</v>
      </c>
      <c r="Q437" s="35"/>
      <c r="R437" s="35"/>
      <c r="S437" s="132" t="s">
        <v>193</v>
      </c>
      <c r="T437" s="194">
        <v>0.8</v>
      </c>
    </row>
    <row r="438" spans="1:20" ht="15.75" customHeight="1">
      <c r="A438" s="193">
        <v>87</v>
      </c>
      <c r="B438" s="186">
        <v>3</v>
      </c>
      <c r="C438" s="132" t="s">
        <v>192</v>
      </c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132">
        <v>3400</v>
      </c>
      <c r="P438" s="132">
        <v>23</v>
      </c>
      <c r="Q438" s="35"/>
      <c r="R438" s="35"/>
      <c r="S438" s="132" t="s">
        <v>193</v>
      </c>
      <c r="T438" s="194">
        <v>0.7</v>
      </c>
    </row>
    <row r="439" spans="1:20" ht="15.75" customHeight="1">
      <c r="A439" s="193">
        <v>87</v>
      </c>
      <c r="B439" s="186">
        <v>4</v>
      </c>
      <c r="C439" s="132" t="s">
        <v>192</v>
      </c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132">
        <v>3530</v>
      </c>
      <c r="P439" s="132">
        <v>126</v>
      </c>
      <c r="Q439" s="35"/>
      <c r="R439" s="35"/>
      <c r="S439" s="132" t="s">
        <v>193</v>
      </c>
      <c r="T439" s="194">
        <v>0.8</v>
      </c>
    </row>
    <row r="440" spans="1:20" ht="15.75" customHeight="1">
      <c r="A440" s="193">
        <v>87</v>
      </c>
      <c r="B440" s="186">
        <v>5</v>
      </c>
      <c r="C440" s="132" t="s">
        <v>192</v>
      </c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132">
        <v>3360</v>
      </c>
      <c r="P440" s="132">
        <v>24.9</v>
      </c>
      <c r="Q440" s="35"/>
      <c r="R440" s="35"/>
      <c r="S440" s="132" t="s">
        <v>193</v>
      </c>
      <c r="T440" s="194">
        <v>0.9</v>
      </c>
    </row>
    <row r="441" spans="1:20" ht="15.75" customHeight="1">
      <c r="A441" s="193">
        <v>87</v>
      </c>
      <c r="B441" s="186">
        <v>6</v>
      </c>
      <c r="C441" s="132" t="s">
        <v>192</v>
      </c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132">
        <v>1515</v>
      </c>
      <c r="P441" s="132">
        <v>24.4</v>
      </c>
      <c r="Q441" s="35"/>
      <c r="R441" s="35"/>
      <c r="S441" s="132" t="s">
        <v>193</v>
      </c>
      <c r="T441" s="194">
        <v>1.5</v>
      </c>
    </row>
    <row r="442" spans="1:20" ht="15.75" customHeight="1">
      <c r="A442" s="193">
        <v>87</v>
      </c>
      <c r="B442" s="186">
        <v>7</v>
      </c>
      <c r="C442" s="132" t="s">
        <v>192</v>
      </c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132">
        <v>2175</v>
      </c>
      <c r="P442" s="132">
        <v>24.4</v>
      </c>
      <c r="Q442" s="35"/>
      <c r="R442" s="35"/>
      <c r="S442" s="132" t="s">
        <v>193</v>
      </c>
      <c r="T442" s="194">
        <v>1.1000000000000001</v>
      </c>
    </row>
    <row r="443" spans="1:20" ht="15.75" customHeight="1">
      <c r="A443" s="193">
        <v>87</v>
      </c>
      <c r="B443" s="186">
        <v>8</v>
      </c>
      <c r="C443" s="132" t="s">
        <v>192</v>
      </c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132">
        <v>2835</v>
      </c>
      <c r="P443" s="132">
        <v>24.8</v>
      </c>
      <c r="Q443" s="35"/>
      <c r="R443" s="35"/>
      <c r="S443" s="132" t="s">
        <v>193</v>
      </c>
      <c r="T443" s="194">
        <v>0.9</v>
      </c>
    </row>
    <row r="444" spans="1:20" ht="15.75" customHeight="1">
      <c r="A444" s="193">
        <v>87</v>
      </c>
      <c r="B444" s="186">
        <v>9</v>
      </c>
      <c r="C444" s="132" t="s">
        <v>192</v>
      </c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132">
        <v>2543</v>
      </c>
      <c r="P444" s="132">
        <v>25.9</v>
      </c>
      <c r="Q444" s="35"/>
      <c r="R444" s="35"/>
      <c r="S444" s="132" t="s">
        <v>193</v>
      </c>
      <c r="T444" s="194">
        <v>1</v>
      </c>
    </row>
    <row r="445" spans="1:20" ht="15.75" customHeight="1">
      <c r="A445" s="193">
        <v>87</v>
      </c>
      <c r="B445" s="186">
        <v>10</v>
      </c>
      <c r="C445" s="132" t="s">
        <v>192</v>
      </c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132">
        <v>1717</v>
      </c>
      <c r="P445" s="132">
        <v>20</v>
      </c>
      <c r="Q445" s="35"/>
      <c r="R445" s="35"/>
      <c r="S445" s="132" t="s">
        <v>193</v>
      </c>
      <c r="T445" s="194">
        <v>1.5</v>
      </c>
    </row>
    <row r="446" spans="1:20" ht="15.75" customHeight="1">
      <c r="A446" s="193">
        <v>87</v>
      </c>
      <c r="B446" s="186">
        <v>11</v>
      </c>
      <c r="C446" s="132" t="s">
        <v>192</v>
      </c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132">
        <v>1321</v>
      </c>
      <c r="P446" s="132">
        <v>17.600000000000001</v>
      </c>
      <c r="Q446" s="35"/>
      <c r="R446" s="35"/>
      <c r="S446" s="132" t="s">
        <v>193</v>
      </c>
      <c r="T446" s="194">
        <v>1.9</v>
      </c>
    </row>
    <row r="447" spans="1:20" ht="15.75" customHeight="1">
      <c r="A447" s="193">
        <v>87</v>
      </c>
      <c r="B447" s="186">
        <v>12</v>
      </c>
      <c r="C447" s="132" t="s">
        <v>192</v>
      </c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132">
        <v>1135</v>
      </c>
      <c r="P447" s="132">
        <v>15.8</v>
      </c>
      <c r="Q447" s="35"/>
      <c r="R447" s="35"/>
      <c r="S447" s="132" t="s">
        <v>193</v>
      </c>
      <c r="T447" s="194">
        <v>2.2999999999999998</v>
      </c>
    </row>
    <row r="448" spans="1:20" ht="15.75" customHeight="1">
      <c r="A448" s="193">
        <v>87</v>
      </c>
      <c r="B448" s="186">
        <v>13</v>
      </c>
      <c r="C448" s="132" t="s">
        <v>192</v>
      </c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132">
        <v>3131</v>
      </c>
      <c r="P448" s="132">
        <v>28</v>
      </c>
      <c r="Q448" s="35"/>
      <c r="R448" s="35"/>
      <c r="S448" s="132" t="s">
        <v>193</v>
      </c>
      <c r="T448" s="194">
        <v>0.9</v>
      </c>
    </row>
    <row r="449" spans="1:20" ht="15.75" customHeight="1">
      <c r="A449" s="193">
        <v>87</v>
      </c>
      <c r="B449" s="186">
        <v>14</v>
      </c>
      <c r="C449" s="132" t="s">
        <v>192</v>
      </c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132">
        <v>3149</v>
      </c>
      <c r="P449" s="132">
        <v>28</v>
      </c>
      <c r="Q449" s="35"/>
      <c r="R449" s="35"/>
      <c r="S449" s="132" t="s">
        <v>193</v>
      </c>
      <c r="T449" s="194">
        <v>1</v>
      </c>
    </row>
    <row r="450" spans="1:20" ht="15.75" customHeight="1">
      <c r="A450" s="193">
        <v>87</v>
      </c>
      <c r="B450" s="186">
        <v>15</v>
      </c>
      <c r="C450" s="132" t="s">
        <v>192</v>
      </c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132">
        <v>3089</v>
      </c>
      <c r="P450" s="132">
        <v>27.1</v>
      </c>
      <c r="Q450" s="35"/>
      <c r="R450" s="35"/>
      <c r="S450" s="132" t="s">
        <v>193</v>
      </c>
      <c r="T450" s="194">
        <v>0.9</v>
      </c>
    </row>
    <row r="451" spans="1:20" ht="15.75" customHeight="1">
      <c r="A451" s="193">
        <v>87</v>
      </c>
      <c r="B451" s="186">
        <v>16</v>
      </c>
      <c r="C451" s="132" t="s">
        <v>192</v>
      </c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132">
        <v>3280</v>
      </c>
      <c r="P451" s="132">
        <v>28.6</v>
      </c>
      <c r="Q451" s="35"/>
      <c r="R451" s="35"/>
      <c r="S451" s="132" t="s">
        <v>193</v>
      </c>
      <c r="T451" s="194">
        <v>1</v>
      </c>
    </row>
    <row r="452" spans="1:20" ht="15.75" customHeight="1">
      <c r="A452" s="193">
        <v>87</v>
      </c>
      <c r="B452" s="186">
        <v>17</v>
      </c>
      <c r="C452" s="132" t="s">
        <v>192</v>
      </c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132">
        <v>2970</v>
      </c>
      <c r="P452" s="132">
        <v>25.5</v>
      </c>
      <c r="Q452" s="35"/>
      <c r="R452" s="35"/>
      <c r="S452" s="132" t="s">
        <v>193</v>
      </c>
      <c r="T452" s="194">
        <v>1</v>
      </c>
    </row>
    <row r="453" spans="1:20" ht="15.75" customHeight="1">
      <c r="A453" s="193">
        <v>87</v>
      </c>
      <c r="B453" s="186">
        <v>18</v>
      </c>
      <c r="C453" s="132" t="s">
        <v>192</v>
      </c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132">
        <v>2729</v>
      </c>
      <c r="P453" s="132">
        <v>25</v>
      </c>
      <c r="Q453" s="35"/>
      <c r="R453" s="35"/>
      <c r="S453" s="132" t="s">
        <v>193</v>
      </c>
      <c r="T453" s="194">
        <v>1</v>
      </c>
    </row>
    <row r="454" spans="1:20" ht="15.75" customHeight="1">
      <c r="A454" s="193">
        <v>87</v>
      </c>
      <c r="B454" s="186">
        <v>19</v>
      </c>
      <c r="C454" s="132" t="s">
        <v>192</v>
      </c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132">
        <v>2930</v>
      </c>
      <c r="P454" s="132">
        <v>29.6</v>
      </c>
      <c r="Q454" s="35"/>
      <c r="R454" s="35"/>
      <c r="S454" s="132" t="s">
        <v>193</v>
      </c>
      <c r="T454" s="194">
        <v>1.2</v>
      </c>
    </row>
    <row r="455" spans="1:20" ht="15.75" customHeight="1">
      <c r="A455" s="193">
        <v>87</v>
      </c>
      <c r="B455" s="186">
        <v>20</v>
      </c>
      <c r="C455" s="132" t="s">
        <v>192</v>
      </c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132">
        <v>2370</v>
      </c>
      <c r="P455" s="132">
        <v>24.9</v>
      </c>
      <c r="Q455" s="35"/>
      <c r="R455" s="35"/>
      <c r="S455" s="132" t="s">
        <v>193</v>
      </c>
      <c r="T455" s="194">
        <v>1.6</v>
      </c>
    </row>
    <row r="456" spans="1:20" ht="15.75" customHeight="1">
      <c r="A456" s="193">
        <v>87</v>
      </c>
      <c r="B456" s="186">
        <v>21</v>
      </c>
      <c r="C456" s="132" t="s">
        <v>192</v>
      </c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132">
        <v>2610</v>
      </c>
      <c r="P456" s="132">
        <v>22.6</v>
      </c>
      <c r="Q456" s="35"/>
      <c r="R456" s="35"/>
      <c r="S456" s="132" t="s">
        <v>193</v>
      </c>
      <c r="T456" s="194">
        <v>1</v>
      </c>
    </row>
    <row r="457" spans="1:20" ht="15.75" customHeight="1" thickBot="1">
      <c r="A457" s="191">
        <v>87</v>
      </c>
      <c r="B457" s="188">
        <v>22</v>
      </c>
      <c r="C457" s="189" t="s">
        <v>192</v>
      </c>
      <c r="D457" s="190"/>
      <c r="E457" s="190"/>
      <c r="F457" s="190"/>
      <c r="G457" s="190"/>
      <c r="H457" s="190"/>
      <c r="I457" s="190"/>
      <c r="J457" s="190"/>
      <c r="K457" s="190"/>
      <c r="L457" s="190"/>
      <c r="M457" s="190"/>
      <c r="N457" s="190"/>
      <c r="O457" s="189">
        <v>2700</v>
      </c>
      <c r="P457" s="189">
        <v>23</v>
      </c>
      <c r="Q457" s="190"/>
      <c r="R457" s="190"/>
      <c r="S457" s="189" t="s">
        <v>193</v>
      </c>
      <c r="T457" s="196">
        <v>1</v>
      </c>
    </row>
    <row r="458" spans="1:20" ht="15.75" customHeight="1">
      <c r="A458" s="193">
        <v>88</v>
      </c>
      <c r="B458" s="186">
        <v>1</v>
      </c>
    </row>
    <row r="459" spans="1:20" ht="15.75" customHeight="1">
      <c r="A459" s="193">
        <v>88</v>
      </c>
      <c r="B459" s="186">
        <v>2</v>
      </c>
    </row>
    <row r="460" spans="1:20" ht="15.75" customHeight="1">
      <c r="A460" s="193">
        <v>88</v>
      </c>
      <c r="B460" s="186">
        <v>3</v>
      </c>
    </row>
    <row r="461" spans="1:20" ht="15.75" customHeight="1">
      <c r="A461" s="193">
        <v>88</v>
      </c>
      <c r="B461" s="186">
        <v>4</v>
      </c>
    </row>
    <row r="462" spans="1:20" ht="15.75" customHeight="1" thickBot="1">
      <c r="A462" s="193">
        <v>88</v>
      </c>
      <c r="B462" s="186">
        <v>5</v>
      </c>
    </row>
    <row r="463" spans="1:20" ht="15.75" customHeight="1">
      <c r="A463" s="219">
        <v>89</v>
      </c>
      <c r="B463" s="184">
        <v>1</v>
      </c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43"/>
    </row>
    <row r="464" spans="1:20" ht="15.75" customHeight="1">
      <c r="A464" s="193">
        <v>89</v>
      </c>
      <c r="B464" s="186">
        <v>2</v>
      </c>
      <c r="T464" s="6"/>
    </row>
    <row r="465" spans="1:20" ht="15.75" customHeight="1">
      <c r="A465" s="193">
        <v>89</v>
      </c>
      <c r="B465" s="186">
        <v>3</v>
      </c>
      <c r="T465" s="6"/>
    </row>
    <row r="466" spans="1:20" ht="15.75" customHeight="1" thickBot="1">
      <c r="A466" s="191">
        <v>89</v>
      </c>
      <c r="B466" s="188">
        <v>4</v>
      </c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41"/>
    </row>
    <row r="467" spans="1:20" ht="15.75" customHeight="1">
      <c r="A467" s="173">
        <v>90</v>
      </c>
      <c r="B467" s="184">
        <v>1</v>
      </c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43"/>
    </row>
    <row r="468" spans="1:20" ht="15.75" customHeight="1">
      <c r="A468" s="185">
        <v>90</v>
      </c>
      <c r="B468" s="186">
        <v>2</v>
      </c>
      <c r="T468" s="6"/>
    </row>
    <row r="469" spans="1:20" ht="15.75" customHeight="1" thickBot="1">
      <c r="A469" s="187">
        <v>90</v>
      </c>
      <c r="B469" s="188">
        <v>3</v>
      </c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41"/>
    </row>
    <row r="470" spans="1:20" ht="15.75" customHeight="1">
      <c r="A470" s="219">
        <v>91</v>
      </c>
      <c r="B470" s="184">
        <v>1</v>
      </c>
      <c r="C470" s="176"/>
      <c r="D470" s="174" t="s">
        <v>194</v>
      </c>
      <c r="E470" s="176"/>
      <c r="F470" s="176"/>
      <c r="G470" s="174">
        <v>5</v>
      </c>
      <c r="H470" s="174" t="s">
        <v>166</v>
      </c>
      <c r="I470" s="174" t="s">
        <v>159</v>
      </c>
      <c r="J470" s="176"/>
      <c r="K470" s="174">
        <v>45</v>
      </c>
      <c r="L470" s="174">
        <v>12.5</v>
      </c>
      <c r="M470" s="174">
        <v>0.15</v>
      </c>
      <c r="N470" s="174" t="s">
        <v>162</v>
      </c>
      <c r="O470" s="174">
        <v>276</v>
      </c>
      <c r="P470" s="176">
        <v>25.3</v>
      </c>
      <c r="Q470" s="176"/>
      <c r="R470" s="176"/>
      <c r="S470" s="174" t="s">
        <v>161</v>
      </c>
      <c r="T470" s="197">
        <v>7.7</v>
      </c>
    </row>
    <row r="471" spans="1:20" ht="15.75" customHeight="1">
      <c r="A471" s="193">
        <v>91</v>
      </c>
      <c r="B471" s="186">
        <v>2</v>
      </c>
      <c r="C471" s="35"/>
      <c r="D471" s="132" t="s">
        <v>194</v>
      </c>
      <c r="E471" s="35"/>
      <c r="F471" s="35"/>
      <c r="G471" s="132">
        <v>5</v>
      </c>
      <c r="H471" s="132" t="s">
        <v>166</v>
      </c>
      <c r="I471" s="132" t="s">
        <v>159</v>
      </c>
      <c r="J471" s="35"/>
      <c r="K471" s="35"/>
      <c r="L471" s="35"/>
      <c r="M471" s="35"/>
      <c r="N471" s="35"/>
      <c r="O471" s="132">
        <v>264</v>
      </c>
      <c r="P471" s="35">
        <v>21</v>
      </c>
      <c r="Q471" s="35"/>
      <c r="R471" s="35"/>
      <c r="S471" s="132" t="s">
        <v>161</v>
      </c>
      <c r="T471" s="194">
        <v>7.4</v>
      </c>
    </row>
    <row r="472" spans="1:20" ht="15.75" customHeight="1">
      <c r="A472" s="193">
        <v>91</v>
      </c>
      <c r="B472" s="186">
        <v>3</v>
      </c>
      <c r="C472" s="35"/>
      <c r="D472" s="132" t="s">
        <v>194</v>
      </c>
      <c r="E472" s="35"/>
      <c r="F472" s="35"/>
      <c r="G472" s="132">
        <v>5</v>
      </c>
      <c r="H472" s="132" t="s">
        <v>166</v>
      </c>
      <c r="I472" s="132" t="s">
        <v>159</v>
      </c>
      <c r="J472" s="35"/>
      <c r="K472" s="35"/>
      <c r="L472" s="35"/>
      <c r="M472" s="35"/>
      <c r="N472" s="35"/>
      <c r="O472" s="132">
        <v>371</v>
      </c>
      <c r="P472" s="35">
        <v>20.8</v>
      </c>
      <c r="Q472" s="35"/>
      <c r="R472" s="35"/>
      <c r="S472" s="132" t="s">
        <v>161</v>
      </c>
      <c r="T472" s="194">
        <v>8.3000000000000007</v>
      </c>
    </row>
    <row r="473" spans="1:20" ht="15.75" customHeight="1" thickBot="1">
      <c r="A473" s="191">
        <v>91</v>
      </c>
      <c r="B473" s="188">
        <v>4</v>
      </c>
      <c r="C473" s="190"/>
      <c r="D473" s="189" t="s">
        <v>194</v>
      </c>
      <c r="E473" s="190"/>
      <c r="F473" s="190"/>
      <c r="G473" s="189">
        <v>5</v>
      </c>
      <c r="H473" s="189" t="s">
        <v>166</v>
      </c>
      <c r="I473" s="189" t="s">
        <v>159</v>
      </c>
      <c r="J473" s="190"/>
      <c r="K473" s="190"/>
      <c r="L473" s="190"/>
      <c r="M473" s="190"/>
      <c r="N473" s="190"/>
      <c r="O473" s="189">
        <v>183</v>
      </c>
      <c r="P473" s="190">
        <v>18</v>
      </c>
      <c r="Q473" s="190"/>
      <c r="R473" s="190"/>
      <c r="S473" s="189" t="s">
        <v>161</v>
      </c>
      <c r="T473" s="196">
        <v>6.4</v>
      </c>
    </row>
    <row r="474" spans="1:20" ht="15.75" customHeight="1">
      <c r="A474" s="173">
        <v>92</v>
      </c>
      <c r="B474" s="184">
        <v>1</v>
      </c>
      <c r="C474" s="132" t="s">
        <v>186</v>
      </c>
      <c r="D474" s="8"/>
      <c r="E474" s="8">
        <v>25</v>
      </c>
      <c r="F474" s="8" t="s">
        <v>165</v>
      </c>
      <c r="G474" s="132">
        <v>2</v>
      </c>
      <c r="H474" s="132" t="s">
        <v>166</v>
      </c>
      <c r="I474" s="229"/>
      <c r="J474" s="229"/>
      <c r="K474" s="229"/>
      <c r="L474" s="229"/>
      <c r="M474" s="229"/>
      <c r="N474" s="229"/>
      <c r="O474" s="229">
        <v>3168</v>
      </c>
      <c r="P474" s="229">
        <v>22</v>
      </c>
      <c r="Q474" s="229"/>
      <c r="R474" s="229"/>
      <c r="S474" s="174" t="s">
        <v>161</v>
      </c>
      <c r="T474" s="239"/>
    </row>
    <row r="475" spans="1:20" ht="15.75" customHeight="1">
      <c r="A475" s="185">
        <v>92</v>
      </c>
      <c r="B475" s="186">
        <v>2</v>
      </c>
      <c r="C475" s="132" t="s">
        <v>186</v>
      </c>
      <c r="D475" s="8"/>
      <c r="E475" s="8">
        <v>25</v>
      </c>
      <c r="F475" s="8" t="s">
        <v>165</v>
      </c>
      <c r="G475" s="132">
        <v>2</v>
      </c>
      <c r="H475" s="132" t="s">
        <v>166</v>
      </c>
      <c r="I475" s="8"/>
      <c r="J475" s="8"/>
      <c r="K475" s="8"/>
      <c r="L475" s="8"/>
      <c r="M475" s="8"/>
      <c r="N475" s="8"/>
      <c r="O475" s="8">
        <v>2950</v>
      </c>
      <c r="P475" s="8">
        <v>24.7</v>
      </c>
      <c r="Q475" s="8"/>
      <c r="R475" s="8"/>
      <c r="S475" s="8" t="s">
        <v>161</v>
      </c>
      <c r="T475" s="239"/>
    </row>
    <row r="476" spans="1:20" ht="15.75" customHeight="1">
      <c r="A476" s="185">
        <v>92</v>
      </c>
      <c r="B476" s="186">
        <v>3</v>
      </c>
      <c r="C476" s="132" t="s">
        <v>186</v>
      </c>
      <c r="D476" s="8"/>
      <c r="E476" s="8">
        <v>25</v>
      </c>
      <c r="F476" s="8" t="s">
        <v>165</v>
      </c>
      <c r="G476" s="132">
        <v>2</v>
      </c>
      <c r="H476" s="132" t="s">
        <v>166</v>
      </c>
      <c r="I476" s="8"/>
      <c r="J476" s="8"/>
      <c r="K476" s="8"/>
      <c r="L476" s="8"/>
      <c r="M476" s="8"/>
      <c r="N476" s="8"/>
      <c r="O476" s="8">
        <v>3080</v>
      </c>
      <c r="P476" s="8">
        <v>26.7</v>
      </c>
      <c r="Q476" s="8"/>
      <c r="R476" s="8"/>
      <c r="S476" s="8" t="s">
        <v>161</v>
      </c>
      <c r="T476" s="239"/>
    </row>
    <row r="477" spans="1:20" ht="15.75" customHeight="1">
      <c r="A477" s="185">
        <v>92</v>
      </c>
      <c r="B477" s="186">
        <v>4</v>
      </c>
      <c r="C477" s="132" t="s">
        <v>186</v>
      </c>
      <c r="D477" s="8"/>
      <c r="E477" s="8">
        <v>25</v>
      </c>
      <c r="F477" s="8" t="s">
        <v>165</v>
      </c>
      <c r="G477" s="132">
        <v>2</v>
      </c>
      <c r="H477" s="132" t="s">
        <v>166</v>
      </c>
      <c r="I477" s="8"/>
      <c r="J477" s="8"/>
      <c r="K477" s="8"/>
      <c r="L477" s="8"/>
      <c r="M477" s="8"/>
      <c r="N477" s="8"/>
      <c r="O477" s="8">
        <v>3200</v>
      </c>
      <c r="P477" s="8">
        <v>26.5</v>
      </c>
      <c r="Q477" s="8"/>
      <c r="R477" s="8"/>
      <c r="S477" s="8" t="s">
        <v>161</v>
      </c>
      <c r="T477" s="239"/>
    </row>
    <row r="478" spans="1:20" ht="15.75" customHeight="1">
      <c r="A478" s="235">
        <v>92</v>
      </c>
      <c r="B478" s="236">
        <v>5</v>
      </c>
      <c r="C478" s="200" t="s">
        <v>186</v>
      </c>
      <c r="D478" s="232"/>
      <c r="E478" s="232">
        <v>25</v>
      </c>
      <c r="F478" s="232" t="s">
        <v>165</v>
      </c>
      <c r="G478" s="200">
        <v>2</v>
      </c>
      <c r="H478" s="200" t="s">
        <v>166</v>
      </c>
      <c r="I478" s="232"/>
      <c r="J478" s="232"/>
      <c r="K478" s="232"/>
      <c r="L478" s="232"/>
      <c r="M478" s="232"/>
      <c r="N478" s="232"/>
      <c r="O478" s="232">
        <v>3000</v>
      </c>
      <c r="P478" s="232">
        <v>22.9</v>
      </c>
      <c r="Q478" s="232"/>
      <c r="R478" s="232"/>
      <c r="S478" s="232" t="s">
        <v>161</v>
      </c>
      <c r="T478" s="241"/>
    </row>
    <row r="479" spans="1:20" ht="15.75" customHeight="1">
      <c r="A479" s="185">
        <v>93</v>
      </c>
      <c r="B479" s="186">
        <v>1</v>
      </c>
      <c r="D479" s="8" t="s">
        <v>195</v>
      </c>
      <c r="E479" s="8"/>
      <c r="F479" s="8"/>
      <c r="G479" s="132">
        <v>5</v>
      </c>
      <c r="H479" s="132" t="s">
        <v>166</v>
      </c>
      <c r="O479" s="132">
        <v>695</v>
      </c>
      <c r="S479" s="132" t="s">
        <v>161</v>
      </c>
      <c r="T479" s="251"/>
    </row>
    <row r="480" spans="1:20" ht="15.75" customHeight="1">
      <c r="A480" s="185">
        <v>93</v>
      </c>
      <c r="B480" s="186">
        <v>2</v>
      </c>
      <c r="D480" s="8" t="s">
        <v>195</v>
      </c>
      <c r="E480" s="8"/>
      <c r="F480" s="8"/>
      <c r="G480" s="132">
        <v>5</v>
      </c>
      <c r="H480" s="132" t="s">
        <v>166</v>
      </c>
      <c r="I480" s="22"/>
      <c r="J480" s="22"/>
      <c r="K480" s="22"/>
      <c r="L480" s="22"/>
      <c r="M480" s="22"/>
      <c r="N480" s="22"/>
      <c r="O480" s="8">
        <v>525</v>
      </c>
      <c r="P480" s="22"/>
      <c r="Q480" s="22"/>
      <c r="R480" s="8"/>
      <c r="S480" s="8" t="s">
        <v>161</v>
      </c>
      <c r="T480" s="251"/>
    </row>
    <row r="481" spans="1:20" ht="15.75" customHeight="1">
      <c r="A481" s="185">
        <v>93</v>
      </c>
      <c r="B481" s="186">
        <v>3</v>
      </c>
      <c r="D481" s="8" t="s">
        <v>195</v>
      </c>
      <c r="E481" s="202"/>
      <c r="F481" s="202"/>
      <c r="G481" s="132">
        <v>5</v>
      </c>
      <c r="H481" s="132" t="s">
        <v>166</v>
      </c>
      <c r="I481" s="132"/>
      <c r="J481" s="132"/>
      <c r="K481" s="132"/>
      <c r="L481" s="132"/>
      <c r="M481" s="132"/>
      <c r="N481" s="132"/>
      <c r="O481" s="8">
        <v>500</v>
      </c>
      <c r="P481" s="132"/>
      <c r="Q481" s="202"/>
      <c r="R481" s="8"/>
      <c r="S481" s="8" t="s">
        <v>161</v>
      </c>
      <c r="T481" s="251"/>
    </row>
    <row r="482" spans="1:20" ht="15.75" customHeight="1">
      <c r="A482" s="185">
        <v>93</v>
      </c>
      <c r="B482" s="186">
        <v>4</v>
      </c>
      <c r="D482" s="8" t="s">
        <v>195</v>
      </c>
      <c r="E482" s="8"/>
      <c r="F482" s="8"/>
      <c r="G482" s="132">
        <v>5</v>
      </c>
      <c r="H482" s="132" t="s">
        <v>166</v>
      </c>
      <c r="I482" s="8"/>
      <c r="J482" s="8"/>
      <c r="K482" s="8"/>
      <c r="L482" s="8"/>
      <c r="M482" s="8"/>
      <c r="N482" s="8"/>
      <c r="O482" s="8">
        <v>350</v>
      </c>
      <c r="P482" s="8"/>
      <c r="Q482" s="8"/>
      <c r="S482" s="8" t="s">
        <v>161</v>
      </c>
      <c r="T482" s="237"/>
    </row>
    <row r="483" spans="1:20" ht="15.75" customHeight="1">
      <c r="A483" s="185">
        <v>93</v>
      </c>
      <c r="B483" s="186">
        <v>5</v>
      </c>
      <c r="D483" s="8" t="s">
        <v>195</v>
      </c>
      <c r="E483" s="8"/>
      <c r="F483" s="8"/>
      <c r="G483" s="132">
        <v>5</v>
      </c>
      <c r="H483" s="132" t="s">
        <v>166</v>
      </c>
      <c r="I483" s="8"/>
      <c r="J483" s="8"/>
      <c r="K483" s="8"/>
      <c r="L483" s="8"/>
      <c r="M483" s="8"/>
      <c r="N483" s="8"/>
      <c r="O483" s="8">
        <v>220</v>
      </c>
      <c r="P483" s="8"/>
      <c r="Q483" s="8"/>
      <c r="S483" s="8" t="s">
        <v>161</v>
      </c>
      <c r="T483" s="237"/>
    </row>
    <row r="484" spans="1:20" ht="15.75" customHeight="1">
      <c r="A484" s="185">
        <v>93</v>
      </c>
      <c r="B484" s="186">
        <v>6</v>
      </c>
      <c r="D484" s="8" t="s">
        <v>195</v>
      </c>
      <c r="E484" s="8"/>
      <c r="F484" s="8"/>
      <c r="G484" s="132">
        <v>5</v>
      </c>
      <c r="H484" s="132" t="s">
        <v>166</v>
      </c>
      <c r="I484" s="8"/>
      <c r="J484" s="8"/>
      <c r="K484" s="8"/>
      <c r="L484" s="8"/>
      <c r="M484" s="8"/>
      <c r="N484" s="8"/>
      <c r="O484" s="8">
        <v>189</v>
      </c>
      <c r="P484" s="8"/>
      <c r="Q484" s="8"/>
      <c r="S484" s="8" t="s">
        <v>161</v>
      </c>
      <c r="T484" s="237">
        <v>96</v>
      </c>
    </row>
    <row r="485" spans="1:20" ht="15.75" customHeight="1">
      <c r="A485" s="185">
        <v>93</v>
      </c>
      <c r="B485" s="186">
        <v>7</v>
      </c>
      <c r="D485" s="8" t="s">
        <v>195</v>
      </c>
      <c r="E485" s="8"/>
      <c r="F485" s="8"/>
      <c r="G485" s="132">
        <v>5</v>
      </c>
      <c r="H485" s="132" t="s">
        <v>166</v>
      </c>
      <c r="I485" s="8"/>
      <c r="J485" s="8"/>
      <c r="K485" s="8"/>
      <c r="L485" s="8"/>
      <c r="M485" s="8"/>
      <c r="N485" s="8"/>
      <c r="O485" s="8">
        <v>220</v>
      </c>
      <c r="P485" s="8"/>
      <c r="Q485" s="8"/>
      <c r="S485" s="8" t="s">
        <v>161</v>
      </c>
      <c r="T485" s="237">
        <v>144</v>
      </c>
    </row>
    <row r="486" spans="1:20" ht="15.75" customHeight="1">
      <c r="A486" s="235">
        <v>93</v>
      </c>
      <c r="B486" s="236">
        <v>8</v>
      </c>
      <c r="C486" s="244"/>
      <c r="D486" s="232" t="s">
        <v>195</v>
      </c>
      <c r="E486" s="232"/>
      <c r="F486" s="232"/>
      <c r="G486" s="200">
        <v>5</v>
      </c>
      <c r="H486" s="200" t="s">
        <v>166</v>
      </c>
      <c r="I486" s="232"/>
      <c r="J486" s="232"/>
      <c r="K486" s="232"/>
      <c r="L486" s="232"/>
      <c r="M486" s="232"/>
      <c r="N486" s="232"/>
      <c r="O486" s="232">
        <v>243</v>
      </c>
      <c r="P486" s="232"/>
      <c r="Q486" s="232"/>
      <c r="R486" s="244"/>
      <c r="S486" s="232" t="s">
        <v>161</v>
      </c>
      <c r="T486" s="238">
        <v>145</v>
      </c>
    </row>
    <row r="487" spans="1:20" ht="15.75" customHeight="1">
      <c r="A487" s="185">
        <v>94</v>
      </c>
      <c r="B487" s="186">
        <v>1</v>
      </c>
      <c r="I487" s="132" t="s">
        <v>159</v>
      </c>
      <c r="J487" s="132"/>
      <c r="K487" s="132">
        <v>50</v>
      </c>
      <c r="L487" s="132">
        <v>5</v>
      </c>
      <c r="M487" s="132">
        <v>0.3</v>
      </c>
      <c r="N487" s="132" t="s">
        <v>162</v>
      </c>
      <c r="O487" s="132">
        <v>1990</v>
      </c>
      <c r="P487" s="132">
        <v>23</v>
      </c>
      <c r="Q487" s="132"/>
      <c r="R487" s="202"/>
      <c r="S487" s="8" t="s">
        <v>161</v>
      </c>
      <c r="T487" s="233">
        <v>8</v>
      </c>
    </row>
    <row r="488" spans="1:20" ht="15.75" customHeight="1">
      <c r="A488" s="185">
        <v>94</v>
      </c>
      <c r="B488" s="186">
        <v>2</v>
      </c>
      <c r="I488" s="132" t="s">
        <v>159</v>
      </c>
      <c r="J488" s="132"/>
      <c r="K488" s="132">
        <v>50</v>
      </c>
      <c r="L488" s="132">
        <v>5</v>
      </c>
      <c r="M488" s="132">
        <v>0.3</v>
      </c>
      <c r="N488" s="132" t="s">
        <v>162</v>
      </c>
      <c r="O488" s="132">
        <v>870</v>
      </c>
      <c r="P488" s="132">
        <v>12.6</v>
      </c>
      <c r="Q488" s="132"/>
      <c r="R488" s="202"/>
      <c r="S488" s="8" t="s">
        <v>161</v>
      </c>
      <c r="T488" s="233">
        <v>12.2</v>
      </c>
    </row>
    <row r="489" spans="1:20" ht="15.75" customHeight="1">
      <c r="A489" s="185">
        <v>94</v>
      </c>
      <c r="B489" s="186">
        <v>3</v>
      </c>
      <c r="I489" s="132" t="s">
        <v>159</v>
      </c>
      <c r="J489" s="132"/>
      <c r="K489" s="132">
        <v>50</v>
      </c>
      <c r="L489" s="132">
        <v>5</v>
      </c>
      <c r="M489" s="132">
        <v>0.3</v>
      </c>
      <c r="N489" s="132" t="s">
        <v>162</v>
      </c>
      <c r="O489" s="132">
        <v>1020</v>
      </c>
      <c r="P489" s="132">
        <v>6.5</v>
      </c>
      <c r="Q489" s="132"/>
      <c r="R489" s="132"/>
      <c r="S489" s="8" t="s">
        <v>161</v>
      </c>
      <c r="T489" s="233">
        <v>4.5999999999999996</v>
      </c>
    </row>
    <row r="490" spans="1:20" ht="15.75" customHeight="1">
      <c r="A490" s="185">
        <v>94</v>
      </c>
      <c r="B490" s="186">
        <v>4</v>
      </c>
      <c r="I490" s="132" t="s">
        <v>159</v>
      </c>
      <c r="J490" s="132"/>
      <c r="K490" s="132">
        <v>50</v>
      </c>
      <c r="L490" s="132">
        <v>5</v>
      </c>
      <c r="M490" s="132">
        <v>0.3</v>
      </c>
      <c r="N490" s="132" t="s">
        <v>162</v>
      </c>
      <c r="O490" s="132">
        <v>635</v>
      </c>
      <c r="P490" s="132">
        <v>6.05</v>
      </c>
      <c r="Q490" s="132"/>
      <c r="R490" s="132"/>
      <c r="S490" s="8" t="s">
        <v>161</v>
      </c>
      <c r="T490" s="233">
        <v>6</v>
      </c>
    </row>
    <row r="491" spans="1:20" ht="15.75" customHeight="1">
      <c r="A491" s="185">
        <v>94</v>
      </c>
      <c r="B491" s="186">
        <v>5</v>
      </c>
      <c r="I491" s="132" t="s">
        <v>159</v>
      </c>
      <c r="J491" s="132"/>
      <c r="K491" s="132">
        <v>50</v>
      </c>
      <c r="L491" s="132">
        <v>5</v>
      </c>
      <c r="M491" s="132">
        <v>0.3</v>
      </c>
      <c r="N491" s="132" t="s">
        <v>162</v>
      </c>
      <c r="O491" s="132">
        <v>430</v>
      </c>
      <c r="P491" s="132">
        <v>2.6</v>
      </c>
      <c r="Q491" s="132"/>
      <c r="R491" s="132"/>
      <c r="S491" s="8" t="s">
        <v>161</v>
      </c>
      <c r="T491" s="233">
        <v>5</v>
      </c>
    </row>
    <row r="492" spans="1:20" ht="15.75" customHeight="1">
      <c r="A492" s="185">
        <v>94</v>
      </c>
      <c r="B492" s="186">
        <v>6</v>
      </c>
      <c r="I492" s="132" t="s">
        <v>159</v>
      </c>
      <c r="J492" s="132"/>
      <c r="K492" s="132">
        <v>50</v>
      </c>
      <c r="L492" s="132">
        <v>5</v>
      </c>
      <c r="M492" s="132">
        <v>0.3</v>
      </c>
      <c r="N492" s="132" t="s">
        <v>162</v>
      </c>
      <c r="O492" s="132">
        <v>500</v>
      </c>
      <c r="P492" s="132">
        <v>3.9</v>
      </c>
      <c r="Q492" s="132"/>
      <c r="R492" s="132"/>
      <c r="S492" s="8" t="s">
        <v>161</v>
      </c>
      <c r="T492" s="233">
        <v>4.5</v>
      </c>
    </row>
    <row r="493" spans="1:20" ht="15.75" customHeight="1">
      <c r="A493" s="235">
        <v>94</v>
      </c>
      <c r="B493" s="236">
        <v>7</v>
      </c>
      <c r="C493" s="244"/>
      <c r="D493" s="244"/>
      <c r="E493" s="244"/>
      <c r="F493" s="244"/>
      <c r="G493" s="244"/>
      <c r="H493" s="244"/>
      <c r="I493" s="200" t="s">
        <v>159</v>
      </c>
      <c r="J493" s="200"/>
      <c r="K493" s="200">
        <v>50</v>
      </c>
      <c r="L493" s="200">
        <v>5</v>
      </c>
      <c r="M493" s="200">
        <v>0.3</v>
      </c>
      <c r="N493" s="200" t="s">
        <v>162</v>
      </c>
      <c r="O493" s="200">
        <v>400</v>
      </c>
      <c r="P493" s="200">
        <v>3.8</v>
      </c>
      <c r="Q493" s="200"/>
      <c r="R493" s="200"/>
      <c r="S493" s="232" t="s">
        <v>161</v>
      </c>
      <c r="T493" s="234">
        <v>7.9</v>
      </c>
    </row>
    <row r="494" spans="1:20" ht="15.75" customHeight="1">
      <c r="A494" s="185">
        <v>95</v>
      </c>
      <c r="B494" s="186">
        <v>1</v>
      </c>
      <c r="E494" s="8">
        <v>25</v>
      </c>
      <c r="F494" s="8" t="s">
        <v>165</v>
      </c>
      <c r="G494" s="8">
        <v>10</v>
      </c>
      <c r="H494" s="8" t="s">
        <v>166</v>
      </c>
      <c r="I494" s="132" t="s">
        <v>159</v>
      </c>
      <c r="J494" s="132"/>
      <c r="K494" s="132">
        <v>30</v>
      </c>
      <c r="L494" s="132">
        <v>5</v>
      </c>
      <c r="M494" s="132">
        <v>0.5</v>
      </c>
      <c r="N494" s="132" t="s">
        <v>162</v>
      </c>
      <c r="O494" s="229">
        <v>665</v>
      </c>
      <c r="P494" s="229">
        <v>12.1</v>
      </c>
      <c r="Q494" s="229"/>
      <c r="R494" s="229"/>
      <c r="S494" s="8" t="s">
        <v>161</v>
      </c>
      <c r="T494" s="239">
        <v>2.9</v>
      </c>
    </row>
    <row r="495" spans="1:20" ht="15.75" customHeight="1">
      <c r="A495" s="185">
        <v>95</v>
      </c>
      <c r="B495" s="186">
        <v>2</v>
      </c>
      <c r="E495" s="132">
        <v>25</v>
      </c>
      <c r="F495" s="132" t="s">
        <v>165</v>
      </c>
      <c r="G495" s="132">
        <v>10</v>
      </c>
      <c r="H495" s="132" t="s">
        <v>166</v>
      </c>
      <c r="I495" s="132" t="s">
        <v>159</v>
      </c>
      <c r="J495" s="132"/>
      <c r="K495" s="132">
        <v>30</v>
      </c>
      <c r="L495" s="132">
        <v>5</v>
      </c>
      <c r="M495" s="132">
        <v>0.5</v>
      </c>
      <c r="N495" s="132" t="s">
        <v>162</v>
      </c>
      <c r="O495" s="132">
        <v>533</v>
      </c>
      <c r="P495" s="132">
        <v>8.6</v>
      </c>
      <c r="Q495" s="132"/>
      <c r="R495" s="132"/>
      <c r="S495" s="8" t="s">
        <v>161</v>
      </c>
      <c r="T495" s="233">
        <v>4.5999999999999996</v>
      </c>
    </row>
    <row r="496" spans="1:20" ht="15.75" customHeight="1">
      <c r="A496" s="185">
        <v>95</v>
      </c>
      <c r="B496" s="186">
        <v>3</v>
      </c>
      <c r="E496" s="8">
        <v>25</v>
      </c>
      <c r="F496" s="8" t="s">
        <v>165</v>
      </c>
      <c r="G496" s="8">
        <v>10</v>
      </c>
      <c r="H496" s="8" t="s">
        <v>166</v>
      </c>
      <c r="I496" s="132" t="s">
        <v>159</v>
      </c>
      <c r="J496" s="132"/>
      <c r="K496" s="132">
        <v>30</v>
      </c>
      <c r="L496" s="132">
        <v>5</v>
      </c>
      <c r="M496" s="132">
        <v>0.5</v>
      </c>
      <c r="N496" s="132" t="s">
        <v>162</v>
      </c>
      <c r="O496" s="132">
        <v>370</v>
      </c>
      <c r="P496" s="132">
        <v>6.2</v>
      </c>
      <c r="Q496" s="132"/>
      <c r="R496" s="132"/>
      <c r="S496" s="8" t="s">
        <v>161</v>
      </c>
      <c r="T496" s="233">
        <v>5.9</v>
      </c>
    </row>
    <row r="497" spans="1:20" ht="15.75" customHeight="1">
      <c r="A497" s="185">
        <v>95</v>
      </c>
      <c r="B497" s="186">
        <v>4</v>
      </c>
      <c r="E497" s="8">
        <v>25</v>
      </c>
      <c r="F497" s="8" t="s">
        <v>165</v>
      </c>
      <c r="G497" s="8">
        <v>10</v>
      </c>
      <c r="H497" s="8" t="s">
        <v>166</v>
      </c>
      <c r="I497" s="132" t="s">
        <v>159</v>
      </c>
      <c r="J497" s="132"/>
      <c r="K497" s="132">
        <v>30</v>
      </c>
      <c r="L497" s="132">
        <v>5</v>
      </c>
      <c r="M497" s="132">
        <v>0.5</v>
      </c>
      <c r="N497" s="132" t="s">
        <v>162</v>
      </c>
      <c r="O497" s="132">
        <v>180</v>
      </c>
      <c r="P497" s="132">
        <v>4.5</v>
      </c>
      <c r="Q497" s="132"/>
      <c r="R497" s="132"/>
      <c r="S497" s="8" t="s">
        <v>161</v>
      </c>
      <c r="T497" s="233">
        <v>9.4</v>
      </c>
    </row>
    <row r="498" spans="1:20" ht="15.75" customHeight="1">
      <c r="A498" s="185">
        <v>95</v>
      </c>
      <c r="B498" s="186">
        <v>5</v>
      </c>
      <c r="E498" s="8">
        <v>25</v>
      </c>
      <c r="F498" s="8" t="s">
        <v>165</v>
      </c>
      <c r="G498" s="8">
        <v>10</v>
      </c>
      <c r="H498" s="8" t="s">
        <v>166</v>
      </c>
      <c r="I498" s="132" t="s">
        <v>159</v>
      </c>
      <c r="J498" s="132"/>
      <c r="K498" s="132">
        <v>30</v>
      </c>
      <c r="L498" s="132">
        <v>5</v>
      </c>
      <c r="M498" s="132">
        <v>0.5</v>
      </c>
      <c r="N498" s="132" t="s">
        <v>162</v>
      </c>
      <c r="O498" s="132">
        <v>51.5</v>
      </c>
      <c r="P498" s="132">
        <v>2.8</v>
      </c>
      <c r="Q498" s="132"/>
      <c r="R498" s="132"/>
      <c r="S498" s="8" t="s">
        <v>161</v>
      </c>
      <c r="T498" s="233">
        <v>10.9</v>
      </c>
    </row>
    <row r="499" spans="1:20" ht="15.75" customHeight="1">
      <c r="A499" s="185">
        <v>96</v>
      </c>
      <c r="B499" s="186">
        <v>1</v>
      </c>
      <c r="I499" s="254" t="s">
        <v>159</v>
      </c>
      <c r="J499" s="254"/>
      <c r="K499" s="254">
        <v>25</v>
      </c>
      <c r="L499" s="254">
        <v>15</v>
      </c>
      <c r="M499" s="254">
        <v>0.1</v>
      </c>
      <c r="N499" s="252" t="s">
        <v>162</v>
      </c>
      <c r="O499" s="132">
        <v>583.78</v>
      </c>
      <c r="Q499" s="132">
        <v>19.28</v>
      </c>
      <c r="S499" s="8" t="s">
        <v>161</v>
      </c>
      <c r="T499" s="255">
        <v>10</v>
      </c>
    </row>
    <row r="500" spans="1:20" ht="15.75" customHeight="1">
      <c r="A500" s="235">
        <v>96</v>
      </c>
      <c r="B500" s="236">
        <v>2</v>
      </c>
      <c r="C500" s="200"/>
      <c r="D500" s="200"/>
      <c r="E500" s="200"/>
      <c r="F500" s="200"/>
      <c r="G500" s="200"/>
      <c r="H500" s="200"/>
      <c r="I500" s="200" t="s">
        <v>159</v>
      </c>
      <c r="J500" s="200"/>
      <c r="K500" s="200">
        <v>25</v>
      </c>
      <c r="L500" s="200">
        <v>15</v>
      </c>
      <c r="M500" s="200">
        <v>0.1</v>
      </c>
      <c r="N500" s="232" t="s">
        <v>162</v>
      </c>
      <c r="O500" s="200">
        <v>5.42</v>
      </c>
      <c r="P500" s="200"/>
      <c r="Q500" s="200">
        <v>1.47</v>
      </c>
      <c r="R500" s="200"/>
      <c r="S500" s="232" t="s">
        <v>161</v>
      </c>
      <c r="T500" s="234">
        <v>338</v>
      </c>
    </row>
    <row r="501" spans="1:20" ht="15.75" customHeight="1">
      <c r="A501" s="185">
        <v>97</v>
      </c>
      <c r="B501" s="186">
        <v>1</v>
      </c>
      <c r="C501" s="132"/>
      <c r="D501" s="132"/>
      <c r="E501" s="132">
        <v>25</v>
      </c>
      <c r="F501" s="132" t="s">
        <v>165</v>
      </c>
      <c r="G501" s="132">
        <v>10</v>
      </c>
      <c r="H501" s="132" t="s">
        <v>166</v>
      </c>
      <c r="I501" s="8" t="s">
        <v>196</v>
      </c>
      <c r="J501" s="132">
        <v>40</v>
      </c>
      <c r="K501" s="132"/>
      <c r="L501" s="132"/>
      <c r="M501" s="254">
        <v>0.1</v>
      </c>
      <c r="N501" s="252" t="s">
        <v>162</v>
      </c>
      <c r="O501" s="132">
        <v>1470</v>
      </c>
      <c r="P501" s="132">
        <v>18</v>
      </c>
      <c r="Q501" s="132"/>
      <c r="R501" s="132"/>
      <c r="S501" s="8" t="s">
        <v>161</v>
      </c>
      <c r="T501" s="233">
        <v>3</v>
      </c>
    </row>
    <row r="502" spans="1:20" ht="15.75" customHeight="1">
      <c r="A502" s="235">
        <v>97</v>
      </c>
      <c r="B502" s="236">
        <v>2</v>
      </c>
      <c r="C502" s="132"/>
      <c r="D502" s="132"/>
      <c r="E502" s="132">
        <v>25</v>
      </c>
      <c r="F502" s="132" t="s">
        <v>165</v>
      </c>
      <c r="G502" s="132">
        <v>10</v>
      </c>
      <c r="H502" s="132" t="s">
        <v>166</v>
      </c>
      <c r="I502" s="8" t="s">
        <v>196</v>
      </c>
      <c r="J502" s="132">
        <v>40</v>
      </c>
      <c r="K502" s="132"/>
      <c r="L502" s="132"/>
      <c r="M502" s="132">
        <v>0.1</v>
      </c>
      <c r="N502" s="132" t="s">
        <v>162</v>
      </c>
      <c r="O502" s="200">
        <v>80.209999999999994</v>
      </c>
      <c r="P502" s="200">
        <v>4.32</v>
      </c>
      <c r="Q502" s="200"/>
      <c r="R502" s="200"/>
      <c r="S502" s="232" t="s">
        <v>161</v>
      </c>
      <c r="T502" s="234">
        <v>10.14</v>
      </c>
    </row>
    <row r="503" spans="1:20" s="132" customFormat="1" ht="15.75" customHeight="1">
      <c r="A503" s="185">
        <v>98</v>
      </c>
      <c r="B503" s="186">
        <v>1</v>
      </c>
      <c r="C503" s="254"/>
      <c r="D503" s="254"/>
      <c r="E503" s="252">
        <v>25</v>
      </c>
      <c r="F503" s="252" t="s">
        <v>165</v>
      </c>
      <c r="G503" s="254">
        <v>5</v>
      </c>
      <c r="H503" s="254" t="s">
        <v>166</v>
      </c>
      <c r="I503" s="252" t="s">
        <v>196</v>
      </c>
      <c r="J503" s="254"/>
      <c r="K503" s="254">
        <v>50</v>
      </c>
      <c r="L503" s="254">
        <v>10</v>
      </c>
      <c r="M503" s="254">
        <v>7.4999999999999997E-2</v>
      </c>
      <c r="N503" s="254" t="s">
        <v>162</v>
      </c>
      <c r="O503" s="132">
        <v>1470</v>
      </c>
      <c r="P503" s="132">
        <v>18</v>
      </c>
      <c r="S503" s="8" t="s">
        <v>161</v>
      </c>
      <c r="T503" s="233">
        <v>3</v>
      </c>
    </row>
    <row r="504" spans="1:20" ht="15.75" customHeight="1">
      <c r="A504" s="235">
        <v>98</v>
      </c>
      <c r="B504" s="236">
        <v>2</v>
      </c>
      <c r="C504" s="200"/>
      <c r="D504" s="200"/>
      <c r="E504" s="232">
        <v>25</v>
      </c>
      <c r="F504" s="232" t="s">
        <v>165</v>
      </c>
      <c r="G504" s="200">
        <v>5</v>
      </c>
      <c r="H504" s="200" t="s">
        <v>166</v>
      </c>
      <c r="I504" s="232" t="s">
        <v>196</v>
      </c>
      <c r="J504" s="200"/>
      <c r="K504" s="200">
        <v>50</v>
      </c>
      <c r="L504" s="200">
        <v>10</v>
      </c>
      <c r="M504" s="200">
        <v>7.4999999999999997E-2</v>
      </c>
      <c r="N504" s="200" t="s">
        <v>162</v>
      </c>
      <c r="O504" s="200">
        <v>256.89999999999998</v>
      </c>
      <c r="P504" s="200">
        <v>5.3</v>
      </c>
      <c r="Q504" s="200"/>
      <c r="R504" s="200"/>
      <c r="S504" s="232" t="s">
        <v>161</v>
      </c>
      <c r="T504" s="234">
        <v>24</v>
      </c>
    </row>
    <row r="505" spans="1:20" ht="15.75" customHeight="1">
      <c r="A505" s="185">
        <v>99</v>
      </c>
      <c r="B505" s="186">
        <v>1</v>
      </c>
      <c r="T505" s="251"/>
    </row>
    <row r="506" spans="1:20" ht="15.75" customHeight="1">
      <c r="A506" s="185">
        <v>99</v>
      </c>
      <c r="B506" s="186">
        <v>2</v>
      </c>
      <c r="T506" s="251"/>
    </row>
    <row r="507" spans="1:20" ht="15.75" customHeight="1">
      <c r="A507" s="185">
        <v>99</v>
      </c>
      <c r="B507" s="186">
        <v>3</v>
      </c>
      <c r="T507" s="251"/>
    </row>
    <row r="508" spans="1:20" ht="15.75" customHeight="1">
      <c r="A508" s="185">
        <v>99</v>
      </c>
      <c r="B508" s="186">
        <v>4</v>
      </c>
      <c r="T508" s="251"/>
    </row>
    <row r="509" spans="1:20" ht="15.75" customHeight="1">
      <c r="A509" s="185">
        <v>99</v>
      </c>
      <c r="B509" s="186">
        <v>5</v>
      </c>
      <c r="T509" s="251"/>
    </row>
    <row r="510" spans="1:20" ht="15.75" customHeight="1">
      <c r="A510" s="235">
        <v>99</v>
      </c>
      <c r="B510" s="236">
        <v>6</v>
      </c>
      <c r="C510" s="244"/>
      <c r="D510" s="244"/>
      <c r="E510" s="244"/>
      <c r="F510" s="244"/>
      <c r="G510" s="244"/>
      <c r="H510" s="244"/>
      <c r="I510" s="244"/>
      <c r="J510" s="244"/>
      <c r="K510" s="244"/>
      <c r="L510" s="244"/>
      <c r="M510" s="244"/>
      <c r="N510" s="244"/>
      <c r="O510" s="244"/>
      <c r="P510" s="244"/>
      <c r="Q510" s="244"/>
      <c r="R510" s="244"/>
      <c r="S510" s="244"/>
      <c r="T510" s="256"/>
    </row>
    <row r="511" spans="1:20" ht="15.75" customHeight="1">
      <c r="A511" s="185">
        <v>100</v>
      </c>
      <c r="B511" s="186">
        <v>1</v>
      </c>
      <c r="T511" s="251"/>
    </row>
    <row r="512" spans="1:20" ht="15.75" customHeight="1">
      <c r="A512" s="185">
        <v>100</v>
      </c>
      <c r="B512" s="186">
        <v>3</v>
      </c>
      <c r="E512" s="8">
        <v>22</v>
      </c>
      <c r="F512" s="8" t="s">
        <v>165</v>
      </c>
      <c r="G512" s="202"/>
      <c r="H512" s="202"/>
      <c r="I512" s="132"/>
      <c r="J512" s="132"/>
      <c r="K512" s="132">
        <v>7.5</v>
      </c>
      <c r="L512" s="132">
        <v>2.5</v>
      </c>
      <c r="M512" s="132">
        <v>0.16500000000000001</v>
      </c>
      <c r="N512" s="132" t="s">
        <v>162</v>
      </c>
      <c r="O512" s="132">
        <v>78.5</v>
      </c>
      <c r="P512" s="132">
        <v>7.8</v>
      </c>
      <c r="Q512" s="132"/>
      <c r="R512" s="202"/>
      <c r="S512" s="132" t="s">
        <v>161</v>
      </c>
      <c r="T512" s="233">
        <v>22.9</v>
      </c>
    </row>
    <row r="513" spans="1:20" ht="15.75" customHeight="1">
      <c r="A513" s="235">
        <v>100</v>
      </c>
      <c r="B513" s="236">
        <v>4</v>
      </c>
      <c r="C513" s="244"/>
      <c r="D513" s="244"/>
      <c r="E513" s="232">
        <v>22</v>
      </c>
      <c r="F513" s="232" t="s">
        <v>165</v>
      </c>
      <c r="G513" s="253"/>
      <c r="H513" s="253"/>
      <c r="I513" s="200"/>
      <c r="J513" s="200"/>
      <c r="K513" s="200">
        <v>7.5</v>
      </c>
      <c r="L513" s="200">
        <v>2.5</v>
      </c>
      <c r="M513" s="200">
        <v>0.16500000000000001</v>
      </c>
      <c r="N513" s="200" t="s">
        <v>162</v>
      </c>
      <c r="O513" s="200">
        <v>84.6</v>
      </c>
      <c r="P513" s="200">
        <v>7.54</v>
      </c>
      <c r="Q513" s="200"/>
      <c r="R513" s="253"/>
      <c r="S513" s="200" t="s">
        <v>161</v>
      </c>
      <c r="T513" s="234">
        <v>10.1</v>
      </c>
    </row>
    <row r="514" spans="1:20" ht="15.75" customHeight="1">
      <c r="A514" s="185">
        <v>72</v>
      </c>
      <c r="B514" s="186">
        <v>6</v>
      </c>
      <c r="T514" s="251"/>
    </row>
    <row r="515" spans="1:20" ht="15.75" customHeight="1">
      <c r="A515" s="185">
        <v>72</v>
      </c>
      <c r="B515" s="186">
        <v>7</v>
      </c>
      <c r="T515" s="251"/>
    </row>
    <row r="516" spans="1:20" ht="15.75" customHeight="1" thickBot="1">
      <c r="A516" s="187">
        <v>72</v>
      </c>
      <c r="B516" s="188">
        <v>8</v>
      </c>
      <c r="C516" s="230"/>
      <c r="D516" s="230"/>
      <c r="E516" s="230"/>
      <c r="F516" s="230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58"/>
    </row>
    <row r="517" spans="1:20" ht="15.75" customHeight="1">
      <c r="A517" s="261">
        <v>101</v>
      </c>
      <c r="B517" s="262">
        <v>1</v>
      </c>
      <c r="O517" s="132" t="s">
        <v>197</v>
      </c>
      <c r="P517" s="132" t="s">
        <v>198</v>
      </c>
      <c r="S517" s="174" t="s">
        <v>161</v>
      </c>
      <c r="T517" s="251"/>
    </row>
    <row r="518" spans="1:20" ht="15.75" customHeight="1">
      <c r="A518" s="261">
        <v>101</v>
      </c>
      <c r="B518" s="262">
        <v>2</v>
      </c>
      <c r="O518" s="132" t="s">
        <v>199</v>
      </c>
      <c r="P518" s="132" t="s">
        <v>200</v>
      </c>
      <c r="S518" s="8" t="s">
        <v>161</v>
      </c>
      <c r="T518" s="251"/>
    </row>
    <row r="519" spans="1:20" ht="15.75" customHeight="1">
      <c r="A519" s="261">
        <v>101</v>
      </c>
      <c r="B519" s="262">
        <v>3</v>
      </c>
      <c r="O519" s="132" t="s">
        <v>201</v>
      </c>
      <c r="P519" s="132" t="s">
        <v>202</v>
      </c>
      <c r="S519" s="8" t="s">
        <v>161</v>
      </c>
      <c r="T519" s="251"/>
    </row>
    <row r="520" spans="1:20" ht="15.75" customHeight="1">
      <c r="A520" s="261">
        <v>101</v>
      </c>
      <c r="B520" s="262">
        <v>4</v>
      </c>
      <c r="O520" s="132" t="s">
        <v>203</v>
      </c>
      <c r="P520" s="132" t="s">
        <v>204</v>
      </c>
      <c r="S520" s="8" t="s">
        <v>161</v>
      </c>
      <c r="T520" s="251"/>
    </row>
    <row r="521" spans="1:20" ht="15.75" customHeight="1">
      <c r="A521" s="261">
        <v>101</v>
      </c>
      <c r="B521" s="262">
        <v>5</v>
      </c>
      <c r="O521" s="132" t="s">
        <v>205</v>
      </c>
      <c r="P521" s="132" t="s">
        <v>206</v>
      </c>
      <c r="S521" s="8" t="s">
        <v>161</v>
      </c>
      <c r="T521" s="251"/>
    </row>
    <row r="522" spans="1:20" ht="15.75" customHeight="1">
      <c r="A522" s="261">
        <v>101</v>
      </c>
      <c r="B522" s="262">
        <v>6</v>
      </c>
      <c r="O522" s="132" t="s">
        <v>207</v>
      </c>
      <c r="P522" s="132" t="s">
        <v>208</v>
      </c>
      <c r="S522" s="8" t="s">
        <v>161</v>
      </c>
      <c r="T522" s="251"/>
    </row>
    <row r="523" spans="1:20" ht="15.75" customHeight="1">
      <c r="A523" s="261">
        <v>101</v>
      </c>
      <c r="B523" s="262">
        <v>7</v>
      </c>
      <c r="O523" s="132" t="s">
        <v>209</v>
      </c>
      <c r="P523" s="132" t="s">
        <v>210</v>
      </c>
      <c r="S523" s="8" t="s">
        <v>161</v>
      </c>
      <c r="T523" s="251"/>
    </row>
    <row r="524" spans="1:20" ht="15.75" customHeight="1" thickBot="1">
      <c r="A524" s="263">
        <v>101</v>
      </c>
      <c r="B524" s="264">
        <v>8</v>
      </c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244"/>
      <c r="O524" s="200" t="s">
        <v>207</v>
      </c>
      <c r="P524" s="200" t="s">
        <v>211</v>
      </c>
      <c r="Q524" s="244"/>
      <c r="R524" s="244"/>
      <c r="S524" s="8" t="s">
        <v>161</v>
      </c>
      <c r="T524" s="256"/>
    </row>
    <row r="525" spans="1:20" ht="15.75" customHeight="1">
      <c r="A525" s="185">
        <v>102</v>
      </c>
      <c r="B525" s="186">
        <v>1</v>
      </c>
      <c r="O525" s="132">
        <v>2116.1999999999998</v>
      </c>
      <c r="P525" s="132">
        <v>36.6</v>
      </c>
      <c r="S525" s="174" t="s">
        <v>161</v>
      </c>
      <c r="T525" s="267">
        <v>49.9</v>
      </c>
    </row>
    <row r="526" spans="1:20" ht="15.75" customHeight="1">
      <c r="A526" s="185">
        <v>102</v>
      </c>
      <c r="B526" s="186">
        <v>2</v>
      </c>
      <c r="O526" s="132">
        <v>2563.1999999999998</v>
      </c>
      <c r="P526" s="132">
        <v>49.1</v>
      </c>
      <c r="S526" s="8" t="s">
        <v>161</v>
      </c>
      <c r="T526" s="237">
        <v>38.5</v>
      </c>
    </row>
    <row r="527" spans="1:20" ht="15.75" customHeight="1">
      <c r="A527" s="185">
        <v>102</v>
      </c>
      <c r="B527" s="186">
        <v>3</v>
      </c>
      <c r="O527" s="132">
        <v>2626.6</v>
      </c>
      <c r="P527" s="132">
        <v>52.6</v>
      </c>
      <c r="S527" s="8" t="s">
        <v>161</v>
      </c>
      <c r="T527" s="237">
        <v>44.1</v>
      </c>
    </row>
    <row r="528" spans="1:20" ht="15.75" customHeight="1">
      <c r="A528" s="185">
        <v>102</v>
      </c>
      <c r="B528" s="186">
        <v>4</v>
      </c>
      <c r="O528" s="132">
        <v>2937.8</v>
      </c>
      <c r="P528" s="132">
        <v>55.17</v>
      </c>
      <c r="S528" s="8" t="s">
        <v>161</v>
      </c>
      <c r="T528" s="237">
        <v>49.4</v>
      </c>
    </row>
    <row r="529" spans="1:20" ht="15.75" customHeight="1">
      <c r="A529" s="185">
        <v>102</v>
      </c>
      <c r="B529" s="186">
        <v>5</v>
      </c>
      <c r="E529" s="244"/>
      <c r="F529" s="244"/>
      <c r="G529" s="244"/>
      <c r="H529" s="244"/>
      <c r="O529" s="132">
        <v>3286.3</v>
      </c>
      <c r="P529" s="132">
        <v>45.9</v>
      </c>
      <c r="S529" s="8" t="s">
        <v>161</v>
      </c>
      <c r="T529" s="237">
        <v>41.4</v>
      </c>
    </row>
    <row r="530" spans="1:20" ht="15.75" customHeight="1">
      <c r="A530" s="268">
        <v>103</v>
      </c>
      <c r="B530" s="265">
        <v>1</v>
      </c>
      <c r="C530" s="266" t="s">
        <v>212</v>
      </c>
      <c r="D530" s="257"/>
      <c r="G530" s="132">
        <v>50</v>
      </c>
      <c r="H530" s="132" t="s">
        <v>166</v>
      </c>
      <c r="I530" s="257"/>
      <c r="J530" s="257"/>
      <c r="K530" s="257"/>
      <c r="L530" s="257"/>
      <c r="M530" s="257"/>
      <c r="N530" s="257"/>
      <c r="O530" s="254"/>
      <c r="P530" s="254">
        <v>28</v>
      </c>
      <c r="Q530" s="257"/>
      <c r="R530" s="257"/>
      <c r="S530" s="254" t="s">
        <v>161</v>
      </c>
      <c r="T530" s="269"/>
    </row>
    <row r="531" spans="1:20" ht="15.75" customHeight="1">
      <c r="A531" s="270">
        <v>103</v>
      </c>
      <c r="B531" s="186">
        <v>2</v>
      </c>
      <c r="O531" s="132"/>
      <c r="P531" s="132"/>
      <c r="T531" s="251"/>
    </row>
    <row r="532" spans="1:20" ht="15.75" customHeight="1">
      <c r="A532" s="270">
        <v>103</v>
      </c>
      <c r="B532" s="186">
        <v>3</v>
      </c>
      <c r="O532" s="132"/>
      <c r="P532" s="132"/>
      <c r="T532" s="251"/>
    </row>
    <row r="533" spans="1:20" ht="15.75" customHeight="1">
      <c r="A533" s="270">
        <v>103</v>
      </c>
      <c r="B533" s="186">
        <v>4</v>
      </c>
      <c r="O533" s="132"/>
      <c r="P533" s="132"/>
      <c r="T533" s="251"/>
    </row>
    <row r="534" spans="1:20" ht="15.75" customHeight="1">
      <c r="A534" s="268">
        <v>104</v>
      </c>
      <c r="B534" s="265">
        <v>1</v>
      </c>
      <c r="C534" s="254"/>
      <c r="D534" s="252" t="s">
        <v>195</v>
      </c>
      <c r="E534" s="254"/>
      <c r="F534" s="254"/>
      <c r="G534" s="254">
        <v>1</v>
      </c>
      <c r="H534" s="254" t="s">
        <v>166</v>
      </c>
      <c r="I534" s="254"/>
      <c r="J534" s="254"/>
      <c r="K534" s="254">
        <v>6</v>
      </c>
      <c r="L534" s="254">
        <v>3</v>
      </c>
      <c r="M534" s="254">
        <v>1.2</v>
      </c>
      <c r="N534" s="254" t="s">
        <v>162</v>
      </c>
      <c r="O534" s="254">
        <v>1268</v>
      </c>
      <c r="P534" s="254"/>
      <c r="Q534" s="254">
        <v>34</v>
      </c>
      <c r="R534" s="254">
        <v>36</v>
      </c>
      <c r="S534" s="252" t="s">
        <v>161</v>
      </c>
      <c r="T534" s="255">
        <v>5.6</v>
      </c>
    </row>
    <row r="535" spans="1:20" ht="15.75" customHeight="1">
      <c r="A535" s="270">
        <v>104</v>
      </c>
      <c r="B535" s="186">
        <v>2</v>
      </c>
      <c r="C535" s="132"/>
      <c r="D535" s="8" t="s">
        <v>195</v>
      </c>
      <c r="E535" s="132"/>
      <c r="F535" s="132"/>
      <c r="G535" s="132">
        <v>1</v>
      </c>
      <c r="H535" s="132" t="s">
        <v>166</v>
      </c>
      <c r="I535" s="132"/>
      <c r="J535" s="132"/>
      <c r="K535" s="132">
        <v>6</v>
      </c>
      <c r="L535" s="132">
        <v>3</v>
      </c>
      <c r="M535" s="132">
        <v>1.2</v>
      </c>
      <c r="N535" s="132" t="s">
        <v>162</v>
      </c>
      <c r="O535" s="132">
        <v>1455</v>
      </c>
      <c r="P535" s="132"/>
      <c r="Q535" s="132">
        <v>17.2</v>
      </c>
      <c r="R535" s="132">
        <v>16.3</v>
      </c>
      <c r="S535" s="8" t="s">
        <v>161</v>
      </c>
      <c r="T535" s="233">
        <v>1.6</v>
      </c>
    </row>
    <row r="536" spans="1:20" ht="15.75" customHeight="1">
      <c r="A536" s="268">
        <v>105</v>
      </c>
      <c r="B536" s="265">
        <v>1</v>
      </c>
      <c r="C536" s="257"/>
      <c r="D536" s="252" t="s">
        <v>195</v>
      </c>
      <c r="E536" s="257"/>
      <c r="F536" s="257"/>
      <c r="G536" s="254">
        <v>1</v>
      </c>
      <c r="H536" s="254" t="s">
        <v>166</v>
      </c>
      <c r="I536" s="257"/>
      <c r="J536" s="257"/>
      <c r="K536" s="257"/>
      <c r="L536" s="257"/>
      <c r="M536" s="257"/>
      <c r="N536" s="257"/>
      <c r="O536" s="254">
        <v>2800</v>
      </c>
      <c r="P536" s="254">
        <v>27.64</v>
      </c>
      <c r="Q536" s="254">
        <v>27.64</v>
      </c>
      <c r="R536" s="257"/>
      <c r="S536" s="254" t="s">
        <v>161</v>
      </c>
      <c r="T536" s="275">
        <v>1.2</v>
      </c>
    </row>
    <row r="537" spans="1:20" ht="15.75" customHeight="1">
      <c r="A537" s="270">
        <v>105</v>
      </c>
      <c r="B537" s="186">
        <v>2</v>
      </c>
      <c r="D537" s="8" t="s">
        <v>195</v>
      </c>
      <c r="G537" s="132">
        <v>1</v>
      </c>
      <c r="H537" s="132" t="s">
        <v>166</v>
      </c>
      <c r="O537" s="132">
        <v>3029.5</v>
      </c>
      <c r="P537" s="132">
        <v>33.314999999999998</v>
      </c>
      <c r="Q537" s="132">
        <v>33.314999999999998</v>
      </c>
      <c r="S537" s="8" t="s">
        <v>161</v>
      </c>
      <c r="T537" s="239">
        <v>1.6</v>
      </c>
    </row>
    <row r="538" spans="1:20" ht="15.75" customHeight="1">
      <c r="A538" s="270">
        <v>105</v>
      </c>
      <c r="B538" s="186">
        <v>3</v>
      </c>
      <c r="D538" s="8" t="s">
        <v>195</v>
      </c>
      <c r="G538" s="132">
        <v>1</v>
      </c>
      <c r="H538" s="132" t="s">
        <v>166</v>
      </c>
      <c r="O538" s="132">
        <v>2570</v>
      </c>
      <c r="P538" s="132">
        <v>26.797999999999998</v>
      </c>
      <c r="Q538" s="132">
        <v>26.797999999999998</v>
      </c>
      <c r="S538" s="8" t="s">
        <v>161</v>
      </c>
      <c r="T538" s="239">
        <v>1.2</v>
      </c>
    </row>
    <row r="539" spans="1:20" ht="15.75" customHeight="1">
      <c r="A539" s="270">
        <v>105</v>
      </c>
      <c r="B539" s="186">
        <v>4</v>
      </c>
      <c r="D539" s="8" t="s">
        <v>195</v>
      </c>
      <c r="G539" s="132">
        <v>1</v>
      </c>
      <c r="H539" s="132" t="s">
        <v>166</v>
      </c>
      <c r="O539" s="132">
        <v>2570</v>
      </c>
      <c r="P539" s="132">
        <v>27.527999999999999</v>
      </c>
      <c r="Q539" s="132">
        <v>27.527999999999999</v>
      </c>
      <c r="S539" s="8" t="s">
        <v>161</v>
      </c>
      <c r="T539" s="239">
        <v>1.3</v>
      </c>
    </row>
    <row r="540" spans="1:20" ht="15.75" customHeight="1">
      <c r="A540" s="268">
        <v>106</v>
      </c>
      <c r="B540" s="265">
        <v>1</v>
      </c>
      <c r="C540" s="257"/>
      <c r="D540" s="257"/>
      <c r="E540" s="257"/>
      <c r="F540" s="257"/>
      <c r="G540" s="257"/>
      <c r="H540" s="257"/>
      <c r="I540" s="257"/>
      <c r="J540" s="257"/>
      <c r="K540" s="257"/>
      <c r="L540" s="257"/>
      <c r="M540" s="257"/>
      <c r="N540" s="257"/>
      <c r="O540" s="257"/>
      <c r="P540" s="257"/>
      <c r="Q540" s="257"/>
      <c r="R540" s="257"/>
      <c r="S540" s="252"/>
      <c r="T540" s="269"/>
    </row>
    <row r="541" spans="1:20" ht="15.75" customHeight="1">
      <c r="A541" s="270">
        <v>106</v>
      </c>
      <c r="B541" s="186">
        <v>2</v>
      </c>
      <c r="T541" s="251"/>
    </row>
    <row r="542" spans="1:20" ht="15.75" customHeight="1">
      <c r="A542" s="270">
        <v>106</v>
      </c>
      <c r="B542" s="186">
        <v>3</v>
      </c>
      <c r="T542" s="251"/>
    </row>
    <row r="543" spans="1:20" ht="15.75" customHeight="1">
      <c r="A543" s="270">
        <v>106</v>
      </c>
      <c r="B543" s="186">
        <v>4</v>
      </c>
      <c r="T543" s="251"/>
    </row>
    <row r="544" spans="1:20" s="132" customFormat="1" ht="15.75" customHeight="1">
      <c r="A544" s="268">
        <v>107</v>
      </c>
      <c r="B544" s="265">
        <v>1</v>
      </c>
      <c r="C544" s="254" t="s">
        <v>186</v>
      </c>
      <c r="D544" s="254"/>
      <c r="E544" s="254">
        <v>25</v>
      </c>
      <c r="F544" s="254" t="s">
        <v>165</v>
      </c>
      <c r="G544" s="254">
        <v>2</v>
      </c>
      <c r="H544" s="254" t="s">
        <v>166</v>
      </c>
      <c r="I544" s="254"/>
      <c r="J544" s="254"/>
      <c r="K544" s="254"/>
      <c r="L544" s="254"/>
      <c r="M544" s="254"/>
      <c r="N544" s="254"/>
      <c r="O544" s="254"/>
      <c r="P544" s="254"/>
      <c r="Q544" s="254">
        <v>11.1</v>
      </c>
      <c r="R544" s="254"/>
      <c r="S544" s="254" t="s">
        <v>161</v>
      </c>
      <c r="T544" s="255">
        <v>2.15</v>
      </c>
    </row>
    <row r="545" spans="1:20" s="132" customFormat="1" ht="15.75" customHeight="1">
      <c r="A545" s="270">
        <v>107</v>
      </c>
      <c r="B545" s="186">
        <v>2</v>
      </c>
      <c r="C545" s="132" t="s">
        <v>186</v>
      </c>
      <c r="E545" s="132">
        <v>25</v>
      </c>
      <c r="F545" s="132" t="s">
        <v>165</v>
      </c>
      <c r="G545" s="132">
        <v>2</v>
      </c>
      <c r="H545" s="132" t="s">
        <v>166</v>
      </c>
      <c r="Q545" s="132">
        <v>17.2</v>
      </c>
      <c r="S545" s="8" t="s">
        <v>161</v>
      </c>
      <c r="T545" s="233">
        <v>3.09</v>
      </c>
    </row>
    <row r="546" spans="1:20" s="132" customFormat="1" ht="15.75" customHeight="1">
      <c r="A546" s="270">
        <v>107</v>
      </c>
      <c r="B546" s="186">
        <v>3</v>
      </c>
      <c r="C546" s="132" t="s">
        <v>186</v>
      </c>
      <c r="E546" s="132">
        <v>25</v>
      </c>
      <c r="F546" s="132" t="s">
        <v>165</v>
      </c>
      <c r="G546" s="132">
        <v>2</v>
      </c>
      <c r="H546" s="132" t="s">
        <v>166</v>
      </c>
      <c r="Q546" s="132">
        <v>12</v>
      </c>
      <c r="S546" s="8" t="s">
        <v>161</v>
      </c>
      <c r="T546" s="233">
        <v>2.08</v>
      </c>
    </row>
    <row r="547" spans="1:20" s="132" customFormat="1" ht="15.75" customHeight="1">
      <c r="A547" s="270">
        <v>107</v>
      </c>
      <c r="B547" s="186">
        <v>4</v>
      </c>
      <c r="T547" s="233"/>
    </row>
    <row r="548" spans="1:20" s="132" customFormat="1" ht="15.75" customHeight="1">
      <c r="A548" s="270">
        <v>107</v>
      </c>
      <c r="B548" s="186">
        <v>5</v>
      </c>
      <c r="C548" s="132" t="s">
        <v>186</v>
      </c>
      <c r="E548" s="132">
        <v>25</v>
      </c>
      <c r="F548" s="132" t="s">
        <v>165</v>
      </c>
      <c r="G548" s="132">
        <v>2</v>
      </c>
      <c r="H548" s="132" t="s">
        <v>166</v>
      </c>
      <c r="Q548" s="132">
        <v>13.8</v>
      </c>
      <c r="S548" s="8" t="s">
        <v>161</v>
      </c>
      <c r="T548" s="233">
        <v>2.33</v>
      </c>
    </row>
    <row r="549" spans="1:20" s="132" customFormat="1" ht="15.75" customHeight="1">
      <c r="A549" s="270">
        <v>107</v>
      </c>
      <c r="B549" s="186">
        <v>6</v>
      </c>
      <c r="C549" s="132" t="s">
        <v>186</v>
      </c>
      <c r="E549" s="132">
        <v>25</v>
      </c>
      <c r="F549" s="132" t="s">
        <v>165</v>
      </c>
      <c r="G549" s="132">
        <v>2</v>
      </c>
      <c r="H549" s="132" t="s">
        <v>166</v>
      </c>
      <c r="Q549" s="132">
        <v>18.48</v>
      </c>
      <c r="S549" s="8" t="s">
        <v>161</v>
      </c>
      <c r="T549" s="233">
        <v>2.5</v>
      </c>
    </row>
    <row r="550" spans="1:20" s="132" customFormat="1" ht="15.75" customHeight="1">
      <c r="A550" s="270">
        <v>107</v>
      </c>
      <c r="B550" s="186">
        <v>7</v>
      </c>
      <c r="C550" s="132" t="s">
        <v>186</v>
      </c>
      <c r="E550" s="132">
        <v>25</v>
      </c>
      <c r="F550" s="132" t="s">
        <v>165</v>
      </c>
      <c r="G550" s="132">
        <v>2</v>
      </c>
      <c r="H550" s="132" t="s">
        <v>166</v>
      </c>
      <c r="Q550" s="132">
        <v>14.2</v>
      </c>
      <c r="S550" s="8" t="s">
        <v>161</v>
      </c>
      <c r="T550" s="233">
        <v>2.36</v>
      </c>
    </row>
    <row r="551" spans="1:20" s="132" customFormat="1" ht="15.75" customHeight="1">
      <c r="A551" s="270">
        <v>107</v>
      </c>
      <c r="B551" s="186">
        <v>8</v>
      </c>
      <c r="T551" s="233"/>
    </row>
    <row r="552" spans="1:20" s="132" customFormat="1" ht="15.75" customHeight="1">
      <c r="A552" s="270">
        <v>107</v>
      </c>
      <c r="B552" s="186">
        <v>9</v>
      </c>
      <c r="C552" s="132" t="s">
        <v>186</v>
      </c>
      <c r="E552" s="132">
        <v>25</v>
      </c>
      <c r="F552" s="132" t="s">
        <v>165</v>
      </c>
      <c r="G552" s="132">
        <v>2</v>
      </c>
      <c r="H552" s="132" t="s">
        <v>166</v>
      </c>
      <c r="Q552" s="132">
        <v>12.3</v>
      </c>
      <c r="S552" s="8" t="s">
        <v>161</v>
      </c>
      <c r="T552" s="233">
        <v>1.7</v>
      </c>
    </row>
    <row r="553" spans="1:20" s="132" customFormat="1" ht="15.75" customHeight="1">
      <c r="A553" s="270">
        <v>107</v>
      </c>
      <c r="B553" s="186">
        <v>10</v>
      </c>
      <c r="T553" s="233"/>
    </row>
    <row r="554" spans="1:20" s="132" customFormat="1" ht="15.75" customHeight="1">
      <c r="A554" s="270">
        <v>107</v>
      </c>
      <c r="B554" s="186">
        <v>11</v>
      </c>
      <c r="T554" s="233"/>
    </row>
    <row r="555" spans="1:20" ht="15.75" customHeight="1">
      <c r="A555" s="268">
        <v>108</v>
      </c>
      <c r="B555" s="265">
        <v>1</v>
      </c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57"/>
      <c r="Q555" s="257"/>
      <c r="R555" s="257"/>
      <c r="S555" s="257"/>
      <c r="T555" s="269"/>
    </row>
    <row r="556" spans="1:20" ht="15.75" customHeight="1">
      <c r="A556" s="270">
        <v>108</v>
      </c>
      <c r="B556" s="186">
        <v>2</v>
      </c>
      <c r="T556" s="251"/>
    </row>
    <row r="557" spans="1:20" ht="15.75" customHeight="1">
      <c r="A557" s="270">
        <v>108</v>
      </c>
      <c r="B557" s="186">
        <v>3</v>
      </c>
      <c r="T557" s="251"/>
    </row>
    <row r="558" spans="1:20" ht="15.75" customHeight="1">
      <c r="A558" s="270">
        <v>108</v>
      </c>
      <c r="B558" s="186">
        <v>4</v>
      </c>
      <c r="T558" s="251"/>
    </row>
    <row r="559" spans="1:20" ht="15.75" customHeight="1">
      <c r="A559" s="270">
        <v>108</v>
      </c>
      <c r="B559" s="186">
        <v>5</v>
      </c>
      <c r="T559" s="251"/>
    </row>
    <row r="560" spans="1:20" ht="15.75" customHeight="1">
      <c r="A560" s="270">
        <v>108</v>
      </c>
      <c r="B560" s="186">
        <v>6</v>
      </c>
      <c r="T560" s="251"/>
    </row>
    <row r="561" spans="1:20" ht="15.75" customHeight="1">
      <c r="A561" s="268">
        <v>109</v>
      </c>
      <c r="B561" s="265">
        <v>1</v>
      </c>
      <c r="C561" s="254" t="s">
        <v>186</v>
      </c>
      <c r="D561" s="254"/>
      <c r="E561" s="254">
        <v>23</v>
      </c>
      <c r="F561" s="254" t="s">
        <v>165</v>
      </c>
      <c r="G561" s="254"/>
      <c r="H561" s="254"/>
      <c r="I561" s="254"/>
      <c r="J561" s="254"/>
      <c r="K561" s="254"/>
      <c r="L561" s="254"/>
      <c r="M561" s="254"/>
      <c r="N561" s="254"/>
      <c r="O561" s="254">
        <v>4052</v>
      </c>
      <c r="P561" s="254">
        <v>37.1</v>
      </c>
      <c r="Q561" s="254"/>
      <c r="R561" s="254"/>
      <c r="S561" s="252" t="s">
        <v>161</v>
      </c>
      <c r="T561" s="255">
        <v>1.87</v>
      </c>
    </row>
    <row r="562" spans="1:20" ht="15.75" customHeight="1">
      <c r="A562" s="270">
        <v>109</v>
      </c>
      <c r="B562" s="186">
        <v>2</v>
      </c>
      <c r="C562" s="132" t="s">
        <v>186</v>
      </c>
      <c r="D562" s="132"/>
      <c r="E562" s="132">
        <v>23</v>
      </c>
      <c r="F562" s="132" t="s">
        <v>165</v>
      </c>
      <c r="G562" s="132"/>
      <c r="H562" s="132"/>
      <c r="I562" s="132"/>
      <c r="J562" s="132"/>
      <c r="K562" s="132"/>
      <c r="L562" s="132"/>
      <c r="M562" s="132"/>
      <c r="N562" s="132"/>
      <c r="O562" s="132">
        <v>2559</v>
      </c>
      <c r="P562" s="132">
        <v>28.75</v>
      </c>
      <c r="Q562" s="132"/>
      <c r="R562" s="132"/>
      <c r="S562" s="8" t="s">
        <v>161</v>
      </c>
      <c r="T562" s="233">
        <v>3.88</v>
      </c>
    </row>
    <row r="563" spans="1:20" ht="15.75" customHeight="1">
      <c r="A563" s="270">
        <v>109</v>
      </c>
      <c r="B563" s="186">
        <v>3</v>
      </c>
      <c r="C563" s="132" t="s">
        <v>186</v>
      </c>
      <c r="D563" s="132"/>
      <c r="E563" s="132">
        <v>23</v>
      </c>
      <c r="F563" s="132" t="s">
        <v>165</v>
      </c>
      <c r="G563" s="132"/>
      <c r="H563" s="132"/>
      <c r="I563" s="132"/>
      <c r="J563" s="132"/>
      <c r="K563" s="132"/>
      <c r="L563" s="132"/>
      <c r="M563" s="132"/>
      <c r="N563" s="132"/>
      <c r="O563" s="132">
        <v>2559</v>
      </c>
      <c r="P563" s="132">
        <v>31.45</v>
      </c>
      <c r="Q563" s="132"/>
      <c r="R563" s="132"/>
      <c r="S563" s="8" t="s">
        <v>161</v>
      </c>
      <c r="T563" s="233">
        <v>5.2</v>
      </c>
    </row>
    <row r="564" spans="1:20" ht="15.75" customHeight="1">
      <c r="A564" s="268">
        <v>110</v>
      </c>
      <c r="B564" s="265">
        <v>1</v>
      </c>
      <c r="C564" s="257"/>
      <c r="D564" s="257"/>
      <c r="E564" s="257"/>
      <c r="F564" s="257"/>
      <c r="G564" s="257"/>
      <c r="H564" s="257"/>
      <c r="I564" s="257"/>
      <c r="J564" s="257"/>
      <c r="K564" s="257"/>
      <c r="L564" s="257"/>
      <c r="M564" s="257"/>
      <c r="N564" s="257"/>
      <c r="O564" s="257"/>
      <c r="P564" s="257"/>
      <c r="Q564" s="257"/>
      <c r="R564" s="257"/>
      <c r="S564" s="257"/>
      <c r="T564" s="269"/>
    </row>
    <row r="565" spans="1:20" ht="15.75" customHeight="1">
      <c r="A565" s="270">
        <v>110</v>
      </c>
      <c r="B565" s="186">
        <v>2</v>
      </c>
      <c r="T565" s="251"/>
    </row>
    <row r="566" spans="1:20" ht="15.75" customHeight="1">
      <c r="A566" s="270">
        <v>110</v>
      </c>
      <c r="B566" s="186">
        <v>3</v>
      </c>
      <c r="T566" s="251"/>
    </row>
    <row r="567" spans="1:20" ht="15.75" customHeight="1">
      <c r="A567" s="270">
        <v>110</v>
      </c>
      <c r="B567" s="186">
        <v>4</v>
      </c>
      <c r="T567" s="251"/>
    </row>
    <row r="568" spans="1:20" ht="15.75" customHeight="1">
      <c r="A568" s="268">
        <v>111</v>
      </c>
      <c r="B568" s="265">
        <v>1</v>
      </c>
      <c r="C568" s="257"/>
      <c r="D568" s="257"/>
      <c r="E568" s="257"/>
      <c r="F568" s="257"/>
      <c r="G568" s="257"/>
      <c r="H568" s="257"/>
      <c r="I568" s="257"/>
      <c r="J568" s="257"/>
      <c r="K568" s="257"/>
      <c r="L568" s="257"/>
      <c r="M568" s="257"/>
      <c r="N568" s="257"/>
      <c r="O568" s="257"/>
      <c r="P568" s="257"/>
      <c r="Q568" s="257"/>
      <c r="R568" s="257"/>
      <c r="S568" s="257"/>
      <c r="T568" s="269"/>
    </row>
    <row r="569" spans="1:20" ht="15.75" customHeight="1">
      <c r="A569" s="270">
        <v>111</v>
      </c>
      <c r="B569" s="186">
        <v>2</v>
      </c>
      <c r="T569" s="251"/>
    </row>
    <row r="570" spans="1:20" ht="15.75" customHeight="1">
      <c r="A570" s="270">
        <v>111</v>
      </c>
      <c r="B570" s="186">
        <v>3</v>
      </c>
      <c r="T570" s="251"/>
    </row>
    <row r="571" spans="1:20" ht="15.75" customHeight="1">
      <c r="A571" s="270">
        <v>111</v>
      </c>
      <c r="B571" s="186">
        <v>4</v>
      </c>
      <c r="T571" s="251"/>
    </row>
    <row r="572" spans="1:20" ht="15.75" customHeight="1">
      <c r="A572" s="270">
        <v>111</v>
      </c>
      <c r="B572" s="186">
        <v>5</v>
      </c>
      <c r="T572" s="251"/>
    </row>
    <row r="573" spans="1:20" ht="15.75" customHeight="1">
      <c r="A573" s="270">
        <v>111</v>
      </c>
      <c r="B573" s="186">
        <v>6</v>
      </c>
      <c r="T573" s="251"/>
    </row>
    <row r="574" spans="1:20" ht="15.75" customHeight="1">
      <c r="A574" s="268">
        <v>112</v>
      </c>
      <c r="B574" s="265">
        <v>1</v>
      </c>
      <c r="C574" s="257"/>
      <c r="D574" s="257"/>
      <c r="E574" s="257"/>
      <c r="F574" s="257"/>
      <c r="G574" s="257"/>
      <c r="H574" s="257"/>
      <c r="I574" s="257"/>
      <c r="J574" s="257"/>
      <c r="K574" s="257"/>
      <c r="L574" s="257"/>
      <c r="M574" s="257"/>
      <c r="N574" s="257"/>
      <c r="O574" s="257"/>
      <c r="P574" s="257"/>
      <c r="Q574" s="257"/>
      <c r="R574" s="257"/>
      <c r="S574" s="257"/>
      <c r="T574" s="269"/>
    </row>
    <row r="575" spans="1:20" ht="15.75" customHeight="1">
      <c r="A575" s="270">
        <v>112</v>
      </c>
      <c r="B575" s="186">
        <v>2</v>
      </c>
      <c r="T575" s="251"/>
    </row>
    <row r="576" spans="1:20" ht="15.75" customHeight="1">
      <c r="A576" s="270">
        <v>112</v>
      </c>
      <c r="B576" s="186">
        <v>3</v>
      </c>
      <c r="T576" s="251"/>
    </row>
    <row r="577" spans="1:20" ht="15.75" customHeight="1">
      <c r="A577" s="270">
        <v>112</v>
      </c>
      <c r="B577" s="186">
        <v>4</v>
      </c>
      <c r="T577" s="251"/>
    </row>
    <row r="578" spans="1:20" ht="15.75" customHeight="1">
      <c r="A578" s="270">
        <v>112</v>
      </c>
      <c r="B578" s="186">
        <v>5</v>
      </c>
      <c r="T578" s="251"/>
    </row>
    <row r="579" spans="1:20" ht="15.75" customHeight="1">
      <c r="A579" s="268">
        <v>113</v>
      </c>
      <c r="B579" s="265">
        <v>1</v>
      </c>
      <c r="C579" s="254"/>
      <c r="D579" s="254"/>
      <c r="E579" s="254">
        <v>20</v>
      </c>
      <c r="F579" s="254" t="s">
        <v>165</v>
      </c>
      <c r="G579" s="254"/>
      <c r="H579" s="254"/>
      <c r="I579" s="254"/>
      <c r="J579" s="254"/>
      <c r="K579" s="254">
        <v>20</v>
      </c>
      <c r="L579" s="254">
        <v>2.5</v>
      </c>
      <c r="M579" s="254"/>
      <c r="N579" s="254" t="s">
        <v>162</v>
      </c>
      <c r="O579" s="254"/>
      <c r="P579" s="254">
        <v>14.5</v>
      </c>
      <c r="Q579" s="254"/>
      <c r="R579" s="254"/>
      <c r="S579" s="254"/>
      <c r="T579" s="255">
        <v>1.87</v>
      </c>
    </row>
    <row r="580" spans="1:20" ht="15.75" customHeight="1">
      <c r="A580" s="270">
        <v>113</v>
      </c>
      <c r="B580" s="186">
        <v>2</v>
      </c>
      <c r="C580" s="132"/>
      <c r="D580" s="132"/>
      <c r="E580" s="132">
        <v>20</v>
      </c>
      <c r="F580" s="132" t="s">
        <v>165</v>
      </c>
      <c r="G580" s="132"/>
      <c r="H580" s="132"/>
      <c r="I580" s="132"/>
      <c r="J580" s="132"/>
      <c r="K580" s="132">
        <v>20</v>
      </c>
      <c r="L580" s="132">
        <v>2.5</v>
      </c>
      <c r="M580" s="132"/>
      <c r="N580" s="132" t="s">
        <v>162</v>
      </c>
      <c r="O580" s="132"/>
      <c r="P580" s="132">
        <v>16</v>
      </c>
      <c r="Q580" s="132"/>
      <c r="R580" s="132"/>
      <c r="S580" s="132"/>
      <c r="T580" s="233">
        <v>7.2</v>
      </c>
    </row>
    <row r="581" spans="1:20" ht="15.75" customHeight="1">
      <c r="A581" s="270">
        <v>113</v>
      </c>
      <c r="B581" s="186">
        <v>3</v>
      </c>
      <c r="C581" s="132"/>
      <c r="D581" s="132"/>
      <c r="E581" s="132">
        <v>20</v>
      </c>
      <c r="F581" s="132" t="s">
        <v>165</v>
      </c>
      <c r="G581" s="132"/>
      <c r="H581" s="132"/>
      <c r="I581" s="132"/>
      <c r="J581" s="132"/>
      <c r="K581" s="132">
        <v>20</v>
      </c>
      <c r="L581" s="132">
        <v>2.5</v>
      </c>
      <c r="M581" s="132"/>
      <c r="N581" s="132" t="s">
        <v>162</v>
      </c>
      <c r="O581" s="132"/>
      <c r="P581" s="132">
        <v>10</v>
      </c>
      <c r="Q581" s="132"/>
      <c r="R581" s="132"/>
      <c r="S581" s="132"/>
      <c r="T581" s="233">
        <v>190.7</v>
      </c>
    </row>
    <row r="582" spans="1:20" ht="15.75" customHeight="1">
      <c r="A582" s="268">
        <v>114</v>
      </c>
      <c r="B582" s="265">
        <v>1</v>
      </c>
      <c r="C582" s="254" t="s">
        <v>186</v>
      </c>
      <c r="D582" s="254"/>
      <c r="E582" s="254"/>
      <c r="F582" s="254"/>
      <c r="G582" s="254">
        <v>50</v>
      </c>
      <c r="H582" s="254" t="s">
        <v>166</v>
      </c>
      <c r="I582" s="252" t="s">
        <v>196</v>
      </c>
      <c r="J582" s="254"/>
      <c r="K582" s="254">
        <v>33</v>
      </c>
      <c r="L582" s="254">
        <v>6</v>
      </c>
      <c r="M582" s="254">
        <v>2</v>
      </c>
      <c r="N582" s="254" t="s">
        <v>162</v>
      </c>
      <c r="O582" s="254">
        <v>430.52</v>
      </c>
      <c r="P582" s="254">
        <v>20.95</v>
      </c>
      <c r="Q582" s="254">
        <v>17.79</v>
      </c>
      <c r="R582" s="254"/>
      <c r="S582" s="254" t="s">
        <v>161</v>
      </c>
      <c r="T582" s="255">
        <v>20.29</v>
      </c>
    </row>
    <row r="583" spans="1:20" ht="15.75" customHeight="1">
      <c r="A583" s="270">
        <v>114</v>
      </c>
      <c r="B583" s="186">
        <v>2</v>
      </c>
      <c r="C583" s="132" t="s">
        <v>186</v>
      </c>
      <c r="D583" s="132"/>
      <c r="E583" s="132"/>
      <c r="F583" s="132"/>
      <c r="G583" s="132">
        <v>50</v>
      </c>
      <c r="H583" s="132" t="s">
        <v>166</v>
      </c>
      <c r="I583" s="8" t="s">
        <v>196</v>
      </c>
      <c r="J583" s="132"/>
      <c r="K583" s="132">
        <v>33</v>
      </c>
      <c r="L583" s="132">
        <v>6</v>
      </c>
      <c r="M583" s="132">
        <v>2</v>
      </c>
      <c r="N583" s="132" t="s">
        <v>162</v>
      </c>
      <c r="O583" s="132">
        <v>443.15</v>
      </c>
      <c r="P583" s="132">
        <v>17.63</v>
      </c>
      <c r="Q583" s="132">
        <v>16.27</v>
      </c>
      <c r="R583" s="132"/>
      <c r="S583" s="8" t="s">
        <v>161</v>
      </c>
      <c r="T583" s="233">
        <v>11.35</v>
      </c>
    </row>
    <row r="584" spans="1:20" ht="15.75" customHeight="1">
      <c r="A584" s="270">
        <v>114</v>
      </c>
      <c r="B584" s="186">
        <v>3</v>
      </c>
      <c r="C584" s="132" t="s">
        <v>186</v>
      </c>
      <c r="D584" s="132"/>
      <c r="E584" s="132"/>
      <c r="F584" s="132"/>
      <c r="G584" s="132">
        <v>50</v>
      </c>
      <c r="H584" s="132" t="s">
        <v>166</v>
      </c>
      <c r="I584" s="8" t="s">
        <v>196</v>
      </c>
      <c r="J584" s="132"/>
      <c r="K584" s="132">
        <v>33</v>
      </c>
      <c r="L584" s="132">
        <v>6</v>
      </c>
      <c r="M584" s="132">
        <v>2</v>
      </c>
      <c r="N584" s="132" t="s">
        <v>162</v>
      </c>
      <c r="O584" s="132">
        <v>517.15</v>
      </c>
      <c r="P584" s="132">
        <v>15.91</v>
      </c>
      <c r="Q584" s="132">
        <v>15.61</v>
      </c>
      <c r="R584" s="132"/>
      <c r="S584" s="8" t="s">
        <v>161</v>
      </c>
      <c r="T584" s="233">
        <v>7.71</v>
      </c>
    </row>
    <row r="585" spans="1:20" ht="15.75" customHeight="1">
      <c r="A585" s="270">
        <v>114</v>
      </c>
      <c r="B585" s="186">
        <v>4</v>
      </c>
      <c r="C585" s="132" t="s">
        <v>186</v>
      </c>
      <c r="D585" s="132"/>
      <c r="E585" s="132"/>
      <c r="F585" s="132"/>
      <c r="G585" s="132">
        <v>50</v>
      </c>
      <c r="H585" s="132" t="s">
        <v>166</v>
      </c>
      <c r="I585" s="8" t="s">
        <v>196</v>
      </c>
      <c r="J585" s="132"/>
      <c r="K585" s="132">
        <v>33</v>
      </c>
      <c r="L585" s="132">
        <v>6</v>
      </c>
      <c r="M585" s="132">
        <v>2</v>
      </c>
      <c r="N585" s="132" t="s">
        <v>162</v>
      </c>
      <c r="O585" s="132">
        <v>649.37</v>
      </c>
      <c r="P585" s="132">
        <v>17.53</v>
      </c>
      <c r="Q585" s="132">
        <v>16.829999999999998</v>
      </c>
      <c r="R585" s="132"/>
      <c r="S585" s="8" t="s">
        <v>161</v>
      </c>
      <c r="T585" s="233">
        <v>6.99</v>
      </c>
    </row>
    <row r="586" spans="1:20" ht="15.75" customHeight="1">
      <c r="A586" s="270">
        <v>114</v>
      </c>
      <c r="B586" s="186">
        <v>5</v>
      </c>
      <c r="C586" s="132"/>
      <c r="D586" s="132"/>
      <c r="E586" s="132"/>
      <c r="F586" s="132"/>
      <c r="G586" s="132"/>
      <c r="H586" s="132"/>
      <c r="I586" s="8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233"/>
    </row>
    <row r="587" spans="1:20" ht="15.75" customHeight="1">
      <c r="A587" s="268">
        <v>115</v>
      </c>
      <c r="B587" s="265">
        <v>1</v>
      </c>
      <c r="C587" s="254"/>
      <c r="D587" s="254" t="s">
        <v>195</v>
      </c>
      <c r="E587" s="254"/>
      <c r="F587" s="254"/>
      <c r="G587" s="254">
        <v>10</v>
      </c>
      <c r="H587" s="254" t="s">
        <v>166</v>
      </c>
      <c r="I587" s="252" t="s">
        <v>196</v>
      </c>
      <c r="J587" s="254"/>
      <c r="K587" s="254"/>
      <c r="L587" s="254"/>
      <c r="M587" s="254"/>
      <c r="N587" s="254"/>
      <c r="O587" s="254">
        <v>1950</v>
      </c>
      <c r="P587" s="254">
        <v>35.6</v>
      </c>
      <c r="Q587" s="254"/>
      <c r="R587" s="254"/>
      <c r="S587" s="254" t="s">
        <v>161</v>
      </c>
      <c r="T587" s="255">
        <v>4.1399999999999997</v>
      </c>
    </row>
    <row r="588" spans="1:20" ht="15.75" customHeight="1">
      <c r="A588" s="270">
        <v>115</v>
      </c>
      <c r="B588" s="186">
        <v>2</v>
      </c>
      <c r="C588" s="132"/>
      <c r="D588" s="132" t="s">
        <v>195</v>
      </c>
      <c r="E588" s="132"/>
      <c r="F588" s="132"/>
      <c r="G588" s="132">
        <v>10</v>
      </c>
      <c r="H588" s="132" t="s">
        <v>166</v>
      </c>
      <c r="I588" s="8" t="s">
        <v>196</v>
      </c>
      <c r="J588" s="132"/>
      <c r="K588" s="132"/>
      <c r="L588" s="132"/>
      <c r="M588" s="132"/>
      <c r="N588" s="132"/>
      <c r="O588" s="132">
        <v>1960</v>
      </c>
      <c r="P588" s="132">
        <v>29.08</v>
      </c>
      <c r="Q588" s="132"/>
      <c r="R588" s="132"/>
      <c r="S588" s="8" t="s">
        <v>161</v>
      </c>
      <c r="T588" s="233">
        <v>1.91</v>
      </c>
    </row>
    <row r="589" spans="1:20" ht="15.75" customHeight="1">
      <c r="A589" s="270">
        <v>115</v>
      </c>
      <c r="B589" s="186">
        <v>3</v>
      </c>
      <c r="C589" s="132"/>
      <c r="D589" s="132" t="s">
        <v>195</v>
      </c>
      <c r="E589" s="132"/>
      <c r="F589" s="132"/>
      <c r="G589" s="132">
        <v>10</v>
      </c>
      <c r="H589" s="132" t="s">
        <v>166</v>
      </c>
      <c r="I589" s="8" t="s">
        <v>196</v>
      </c>
      <c r="J589" s="132"/>
      <c r="K589" s="132"/>
      <c r="L589" s="132"/>
      <c r="M589" s="132"/>
      <c r="N589" s="132"/>
      <c r="O589" s="132">
        <v>2000</v>
      </c>
      <c r="P589" s="132">
        <v>29.16</v>
      </c>
      <c r="Q589" s="132"/>
      <c r="R589" s="132"/>
      <c r="S589" s="8" t="s">
        <v>161</v>
      </c>
      <c r="T589" s="233">
        <v>1.97</v>
      </c>
    </row>
    <row r="590" spans="1:20" ht="15.75" customHeight="1">
      <c r="A590" s="270">
        <v>115</v>
      </c>
      <c r="B590" s="186">
        <v>4</v>
      </c>
      <c r="C590" s="132"/>
      <c r="D590" s="132" t="s">
        <v>195</v>
      </c>
      <c r="E590" s="132"/>
      <c r="F590" s="132"/>
      <c r="G590" s="132">
        <v>10</v>
      </c>
      <c r="H590" s="132" t="s">
        <v>166</v>
      </c>
      <c r="I590" s="8" t="s">
        <v>196</v>
      </c>
      <c r="J590" s="132"/>
      <c r="K590" s="132"/>
      <c r="L590" s="132"/>
      <c r="M590" s="132"/>
      <c r="N590" s="132"/>
      <c r="O590" s="132">
        <v>1980</v>
      </c>
      <c r="P590" s="132">
        <v>30.62</v>
      </c>
      <c r="Q590" s="132"/>
      <c r="R590" s="132"/>
      <c r="S590" s="8" t="s">
        <v>161</v>
      </c>
      <c r="T590" s="233">
        <v>2.33</v>
      </c>
    </row>
    <row r="591" spans="1:20" ht="15.75" customHeight="1">
      <c r="A591" s="270">
        <v>115</v>
      </c>
      <c r="B591" s="186">
        <v>5</v>
      </c>
      <c r="C591" s="132"/>
      <c r="D591" s="132" t="s">
        <v>195</v>
      </c>
      <c r="E591" s="132"/>
      <c r="F591" s="132"/>
      <c r="G591" s="132">
        <v>10</v>
      </c>
      <c r="H591" s="132" t="s">
        <v>166</v>
      </c>
      <c r="I591" s="8" t="s">
        <v>196</v>
      </c>
      <c r="J591" s="132"/>
      <c r="K591" s="132"/>
      <c r="L591" s="132"/>
      <c r="M591" s="132"/>
      <c r="N591" s="132"/>
      <c r="O591" s="132">
        <v>2220</v>
      </c>
      <c r="P591" s="132">
        <v>31.22</v>
      </c>
      <c r="Q591" s="132"/>
      <c r="R591" s="132"/>
      <c r="S591" s="8" t="s">
        <v>161</v>
      </c>
      <c r="T591" s="233">
        <v>1.83</v>
      </c>
    </row>
    <row r="592" spans="1:20" ht="15.75" customHeight="1">
      <c r="A592" s="270">
        <v>115</v>
      </c>
      <c r="B592" s="186">
        <v>6</v>
      </c>
      <c r="C592" s="132"/>
      <c r="D592" s="132" t="s">
        <v>195</v>
      </c>
      <c r="E592" s="132"/>
      <c r="F592" s="132"/>
      <c r="G592" s="132">
        <v>10</v>
      </c>
      <c r="H592" s="132" t="s">
        <v>166</v>
      </c>
      <c r="I592" s="8" t="s">
        <v>196</v>
      </c>
      <c r="J592" s="132"/>
      <c r="K592" s="132"/>
      <c r="L592" s="132"/>
      <c r="M592" s="132"/>
      <c r="N592" s="132"/>
      <c r="O592" s="132">
        <v>2330</v>
      </c>
      <c r="P592" s="132">
        <v>28.82</v>
      </c>
      <c r="Q592" s="132"/>
      <c r="R592" s="132"/>
      <c r="S592" s="8" t="s">
        <v>161</v>
      </c>
      <c r="T592" s="233">
        <v>1.45</v>
      </c>
    </row>
    <row r="593" spans="1:20" ht="15.75" customHeight="1">
      <c r="A593" s="270">
        <v>115</v>
      </c>
      <c r="B593" s="186">
        <v>7</v>
      </c>
      <c r="C593" s="132"/>
      <c r="D593" s="132" t="s">
        <v>195</v>
      </c>
      <c r="E593" s="132"/>
      <c r="F593" s="132"/>
      <c r="G593" s="132">
        <v>10</v>
      </c>
      <c r="H593" s="132" t="s">
        <v>166</v>
      </c>
      <c r="I593" s="8" t="s">
        <v>196</v>
      </c>
      <c r="J593" s="132"/>
      <c r="K593" s="132"/>
      <c r="L593" s="132"/>
      <c r="M593" s="132"/>
      <c r="N593" s="132"/>
      <c r="O593" s="132">
        <v>2500</v>
      </c>
      <c r="P593" s="132">
        <v>26.4</v>
      </c>
      <c r="Q593" s="132"/>
      <c r="R593" s="132"/>
      <c r="S593" s="232" t="s">
        <v>161</v>
      </c>
      <c r="T593" s="233">
        <v>1.23</v>
      </c>
    </row>
    <row r="594" spans="1:20" ht="15.75" customHeight="1">
      <c r="A594" s="268">
        <v>116</v>
      </c>
      <c r="B594" s="265">
        <v>1</v>
      </c>
      <c r="C594" s="257"/>
      <c r="D594" s="257"/>
      <c r="E594" s="257"/>
      <c r="F594" s="257"/>
      <c r="G594" s="257"/>
      <c r="H594" s="257"/>
      <c r="I594" s="257"/>
      <c r="J594" s="257"/>
      <c r="K594" s="257"/>
      <c r="L594" s="257"/>
      <c r="M594" s="257"/>
      <c r="N594" s="257"/>
      <c r="O594" s="266">
        <v>4450</v>
      </c>
      <c r="P594" s="257"/>
      <c r="Q594" s="257"/>
      <c r="R594" s="257"/>
      <c r="S594" s="8" t="s">
        <v>161</v>
      </c>
      <c r="T594" s="255">
        <v>65</v>
      </c>
    </row>
    <row r="595" spans="1:20" ht="15.75" customHeight="1">
      <c r="A595" s="270">
        <v>116</v>
      </c>
      <c r="B595" s="186">
        <v>2</v>
      </c>
      <c r="O595" s="229"/>
      <c r="T595" s="233"/>
    </row>
    <row r="596" spans="1:20" ht="15.75" customHeight="1">
      <c r="A596" s="270">
        <v>116</v>
      </c>
      <c r="B596" s="186">
        <v>3</v>
      </c>
      <c r="O596" s="229">
        <v>4940</v>
      </c>
      <c r="S596" s="8" t="s">
        <v>161</v>
      </c>
      <c r="T596" s="233">
        <v>27.3</v>
      </c>
    </row>
    <row r="597" spans="1:20" s="132" customFormat="1" ht="15.75" customHeight="1">
      <c r="A597" s="268">
        <v>117</v>
      </c>
      <c r="B597" s="265">
        <v>1</v>
      </c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>
        <v>3500</v>
      </c>
      <c r="P597" s="254">
        <v>40</v>
      </c>
      <c r="Q597" s="254"/>
      <c r="R597" s="254"/>
      <c r="S597" s="252" t="s">
        <v>161</v>
      </c>
      <c r="T597" s="255">
        <v>6</v>
      </c>
    </row>
    <row r="598" spans="1:20" s="132" customFormat="1" ht="15.75" customHeight="1">
      <c r="A598" s="268">
        <v>118</v>
      </c>
      <c r="B598" s="265">
        <v>1</v>
      </c>
      <c r="C598" s="254"/>
      <c r="D598" s="254" t="s">
        <v>213</v>
      </c>
      <c r="E598" s="254"/>
      <c r="F598" s="254"/>
      <c r="G598" s="254">
        <v>2</v>
      </c>
      <c r="H598" s="254" t="s">
        <v>166</v>
      </c>
      <c r="I598" s="254"/>
      <c r="J598" s="254"/>
      <c r="K598" s="254"/>
      <c r="L598" s="254">
        <v>5</v>
      </c>
      <c r="M598" s="254">
        <v>0.1</v>
      </c>
      <c r="N598" s="254" t="s">
        <v>162</v>
      </c>
      <c r="O598" s="254"/>
      <c r="P598" s="254">
        <v>25.3</v>
      </c>
      <c r="Q598" s="254">
        <v>25.3</v>
      </c>
      <c r="R598" s="254"/>
      <c r="S598" s="252" t="s">
        <v>161</v>
      </c>
      <c r="T598" s="255">
        <v>2</v>
      </c>
    </row>
    <row r="599" spans="1:20" s="132" customFormat="1" ht="15.75" customHeight="1">
      <c r="A599" s="276">
        <v>118</v>
      </c>
      <c r="B599" s="236">
        <v>2</v>
      </c>
      <c r="C599" s="200"/>
      <c r="D599" s="200" t="s">
        <v>213</v>
      </c>
      <c r="E599" s="200"/>
      <c r="F599" s="200"/>
      <c r="G599" s="200">
        <v>2</v>
      </c>
      <c r="H599" s="200" t="s">
        <v>166</v>
      </c>
      <c r="I599" s="200"/>
      <c r="J599" s="200"/>
      <c r="K599" s="200"/>
      <c r="L599" s="200">
        <v>5</v>
      </c>
      <c r="M599" s="200">
        <v>0.1</v>
      </c>
      <c r="N599" s="200" t="s">
        <v>162</v>
      </c>
      <c r="O599" s="200"/>
      <c r="P599" s="200">
        <v>21.6</v>
      </c>
      <c r="Q599" s="200">
        <v>21.6</v>
      </c>
      <c r="R599" s="200"/>
      <c r="S599" s="232" t="s">
        <v>161</v>
      </c>
      <c r="T599" s="234">
        <v>11.8</v>
      </c>
    </row>
    <row r="600" spans="1:20" ht="15.75" customHeight="1"/>
    <row r="601" spans="1:20" ht="15.75" customHeight="1"/>
    <row r="602" spans="1:20" ht="15.75" customHeight="1"/>
    <row r="603" spans="1:20" ht="15.75" customHeight="1"/>
    <row r="604" spans="1:20" ht="15.75" customHeight="1"/>
    <row r="605" spans="1:20" ht="15.75" customHeight="1"/>
    <row r="606" spans="1:20" ht="15.75" customHeight="1"/>
    <row r="607" spans="1:20" ht="15.75" customHeight="1"/>
    <row r="608" spans="1:20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spans="8:8" ht="15.75" customHeight="1">
      <c r="H977" s="132"/>
    </row>
  </sheetData>
  <autoFilter ref="A1:AL473" xr:uid="{00000000-0009-0000-0000-000001000000}"/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971"/>
  <sheetViews>
    <sheetView zoomScale="70" zoomScaleNormal="70" workbookViewId="0">
      <pane ySplit="1" topLeftCell="A568" activePane="bottomLeft" state="frozen"/>
      <selection activeCell="N31" sqref="N31"/>
      <selection pane="bottomLeft" activeCell="N31" sqref="N31"/>
    </sheetView>
  </sheetViews>
  <sheetFormatPr defaultColWidth="12.5703125" defaultRowHeight="15" customHeight="1"/>
  <cols>
    <col min="1" max="1" width="13.28515625" style="35" customWidth="1"/>
    <col min="2" max="2" width="12.85546875" customWidth="1"/>
    <col min="3" max="8" width="9.42578125" customWidth="1"/>
    <col min="9" max="9" width="11.28515625" customWidth="1"/>
    <col min="10" max="11" width="9.42578125" customWidth="1"/>
    <col min="12" max="12" width="21.85546875" customWidth="1"/>
    <col min="13" max="14" width="10.7109375" customWidth="1"/>
    <col min="15" max="15" width="9.42578125" customWidth="1"/>
    <col min="16" max="17" width="18.5703125" customWidth="1"/>
    <col min="18" max="18" width="21.7109375" customWidth="1"/>
    <col min="19" max="39" width="9.42578125" customWidth="1"/>
  </cols>
  <sheetData>
    <row r="1" spans="1:39">
      <c r="A1" s="109" t="s">
        <v>0</v>
      </c>
      <c r="B1" s="45" t="s">
        <v>1</v>
      </c>
      <c r="C1" s="46" t="s">
        <v>214</v>
      </c>
      <c r="D1" s="45" t="s">
        <v>215</v>
      </c>
      <c r="E1" s="46" t="s">
        <v>216</v>
      </c>
      <c r="F1" s="46" t="s">
        <v>217</v>
      </c>
      <c r="G1" s="46" t="s">
        <v>218</v>
      </c>
      <c r="H1" s="45" t="s">
        <v>219</v>
      </c>
      <c r="I1" s="45" t="s">
        <v>220</v>
      </c>
      <c r="J1" s="46" t="s">
        <v>221</v>
      </c>
      <c r="K1" s="46" t="s">
        <v>222</v>
      </c>
      <c r="L1" s="45" t="s">
        <v>223</v>
      </c>
      <c r="M1" s="46" t="s">
        <v>224</v>
      </c>
      <c r="N1" s="46" t="s">
        <v>225</v>
      </c>
      <c r="O1" s="46" t="s">
        <v>226</v>
      </c>
      <c r="P1" s="46" t="s">
        <v>227</v>
      </c>
      <c r="Q1" s="45" t="s">
        <v>228</v>
      </c>
      <c r="R1" s="47" t="s">
        <v>668</v>
      </c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spans="1:39">
      <c r="A2" s="120">
        <v>1</v>
      </c>
      <c r="B2" s="49">
        <v>1</v>
      </c>
      <c r="C2" s="51">
        <v>3</v>
      </c>
      <c r="D2" s="51"/>
      <c r="E2" s="51"/>
      <c r="F2" s="51"/>
      <c r="G2" s="51"/>
      <c r="H2" s="51">
        <v>175</v>
      </c>
      <c r="I2" s="51"/>
      <c r="J2" s="51">
        <v>235</v>
      </c>
      <c r="K2" s="51"/>
      <c r="L2" s="51" t="s">
        <v>165</v>
      </c>
      <c r="M2" s="51">
        <v>58</v>
      </c>
      <c r="N2" s="51"/>
      <c r="O2" s="51"/>
      <c r="P2" s="51"/>
      <c r="Q2" s="51" t="s">
        <v>229</v>
      </c>
      <c r="R2" s="52"/>
      <c r="S2" s="5"/>
      <c r="T2" s="5"/>
      <c r="U2" s="5"/>
    </row>
    <row r="3" spans="1:39">
      <c r="A3" s="120">
        <v>2</v>
      </c>
      <c r="B3" s="54">
        <v>1</v>
      </c>
      <c r="C3" s="55">
        <v>4</v>
      </c>
      <c r="D3" s="55"/>
      <c r="E3" s="55"/>
      <c r="F3" s="55"/>
      <c r="G3" s="55"/>
      <c r="H3" s="55">
        <v>175</v>
      </c>
      <c r="I3" s="55"/>
      <c r="J3" s="55"/>
      <c r="K3" s="55"/>
      <c r="L3" s="55" t="s">
        <v>165</v>
      </c>
      <c r="M3" s="55">
        <v>22</v>
      </c>
      <c r="N3" s="55"/>
      <c r="O3" s="55"/>
      <c r="P3" s="55"/>
      <c r="Q3" s="55" t="s">
        <v>230</v>
      </c>
      <c r="R3" s="56"/>
      <c r="S3" s="5"/>
      <c r="T3" s="5"/>
      <c r="U3" s="5"/>
    </row>
    <row r="4" spans="1:39">
      <c r="A4" s="154">
        <v>3</v>
      </c>
      <c r="B4" s="57">
        <v>1</v>
      </c>
      <c r="C4" s="58">
        <v>8</v>
      </c>
      <c r="D4" s="58"/>
      <c r="E4" s="58"/>
      <c r="F4" s="58"/>
      <c r="G4" s="58"/>
      <c r="H4" s="58">
        <v>178</v>
      </c>
      <c r="I4" s="58"/>
      <c r="J4" s="58"/>
      <c r="K4" s="58"/>
      <c r="L4" s="58" t="s">
        <v>165</v>
      </c>
      <c r="M4" s="58"/>
      <c r="N4" s="58"/>
      <c r="O4" s="58"/>
      <c r="P4" s="58"/>
      <c r="Q4" s="58"/>
      <c r="R4" s="59"/>
      <c r="S4" s="5"/>
      <c r="T4" s="5"/>
      <c r="U4" s="5"/>
    </row>
    <row r="5" spans="1:39">
      <c r="A5" s="157">
        <v>3</v>
      </c>
      <c r="B5" s="60">
        <v>2</v>
      </c>
      <c r="C5" s="84">
        <v>-6</v>
      </c>
      <c r="D5" s="84"/>
      <c r="E5" s="61"/>
      <c r="F5" s="61"/>
      <c r="G5" s="61"/>
      <c r="H5" s="61">
        <v>134</v>
      </c>
      <c r="I5" s="61"/>
      <c r="J5" s="61"/>
      <c r="K5" s="61"/>
      <c r="L5" s="61" t="s">
        <v>165</v>
      </c>
      <c r="M5" s="61"/>
      <c r="N5" s="61"/>
      <c r="O5" s="61"/>
      <c r="P5" s="61"/>
      <c r="Q5" s="61"/>
      <c r="R5" s="62"/>
      <c r="S5" s="5"/>
      <c r="T5" s="5"/>
      <c r="U5" s="5"/>
    </row>
    <row r="6" spans="1:39">
      <c r="A6" s="156">
        <v>3</v>
      </c>
      <c r="B6" s="63">
        <v>3</v>
      </c>
      <c r="C6" s="110">
        <v>-2</v>
      </c>
      <c r="D6" s="110"/>
      <c r="E6" s="64"/>
      <c r="F6" s="64"/>
      <c r="G6" s="64"/>
      <c r="H6" s="64">
        <v>150</v>
      </c>
      <c r="I6" s="64"/>
      <c r="J6" s="64"/>
      <c r="K6" s="64"/>
      <c r="L6" s="64" t="s">
        <v>165</v>
      </c>
      <c r="M6" s="64"/>
      <c r="N6" s="64"/>
      <c r="O6" s="64"/>
      <c r="P6" s="64"/>
      <c r="Q6" s="64"/>
      <c r="R6" s="65"/>
      <c r="S6" s="5"/>
      <c r="T6" s="5"/>
      <c r="U6" s="5"/>
    </row>
    <row r="7" spans="1:39">
      <c r="A7" s="120">
        <v>4</v>
      </c>
      <c r="B7" s="54">
        <v>1</v>
      </c>
      <c r="C7" s="55">
        <v>3</v>
      </c>
      <c r="D7" s="55"/>
      <c r="E7" s="55">
        <v>54</v>
      </c>
      <c r="F7" s="55"/>
      <c r="G7" s="55"/>
      <c r="H7" s="55">
        <v>175</v>
      </c>
      <c r="I7" s="55"/>
      <c r="J7" s="55"/>
      <c r="K7" s="55"/>
      <c r="L7" s="55" t="s">
        <v>165</v>
      </c>
      <c r="M7" s="55"/>
      <c r="N7" s="55"/>
      <c r="O7" s="55"/>
      <c r="P7" s="55"/>
      <c r="Q7" s="55"/>
      <c r="R7" s="56">
        <v>80</v>
      </c>
      <c r="S7" s="5"/>
      <c r="T7" s="5"/>
      <c r="U7" s="5"/>
    </row>
    <row r="8" spans="1:39">
      <c r="A8" s="154">
        <v>5</v>
      </c>
      <c r="B8" s="57">
        <v>1</v>
      </c>
      <c r="C8" s="58">
        <v>-3.08</v>
      </c>
      <c r="D8" s="58"/>
      <c r="E8" s="58">
        <v>91.54</v>
      </c>
      <c r="F8" s="58"/>
      <c r="G8" s="58"/>
      <c r="H8" s="58">
        <v>163.30000000000001</v>
      </c>
      <c r="I8" s="58"/>
      <c r="J8" s="111">
        <v>227.84</v>
      </c>
      <c r="K8" s="58"/>
      <c r="L8" s="58" t="s">
        <v>165</v>
      </c>
      <c r="M8" s="58">
        <v>70.64</v>
      </c>
      <c r="N8" s="58"/>
      <c r="O8" s="58">
        <v>54.56</v>
      </c>
      <c r="P8" s="58"/>
      <c r="Q8" s="58" t="s">
        <v>229</v>
      </c>
      <c r="R8" s="59"/>
      <c r="S8" s="5"/>
      <c r="T8" s="5"/>
      <c r="U8" s="5"/>
    </row>
    <row r="9" spans="1:39">
      <c r="A9" s="156">
        <v>5</v>
      </c>
      <c r="B9" s="67">
        <v>2</v>
      </c>
      <c r="C9" s="68">
        <v>-15.09</v>
      </c>
      <c r="D9" s="68"/>
      <c r="E9" s="68">
        <v>58.37</v>
      </c>
      <c r="F9" s="68"/>
      <c r="G9" s="68"/>
      <c r="H9" s="68">
        <v>112.27</v>
      </c>
      <c r="I9" s="68"/>
      <c r="J9" s="68">
        <v>231.43</v>
      </c>
      <c r="K9" s="68"/>
      <c r="L9" s="68" t="s">
        <v>165</v>
      </c>
      <c r="M9" s="68">
        <v>73.31</v>
      </c>
      <c r="N9" s="68"/>
      <c r="O9" s="68">
        <v>51.81</v>
      </c>
      <c r="P9" s="68"/>
      <c r="Q9" s="68" t="s">
        <v>229</v>
      </c>
      <c r="R9" s="69"/>
      <c r="S9" s="5"/>
      <c r="T9" s="5"/>
      <c r="U9" s="5"/>
    </row>
    <row r="10" spans="1:39">
      <c r="A10" s="120">
        <v>6</v>
      </c>
      <c r="B10" s="49">
        <v>1</v>
      </c>
      <c r="C10" s="51">
        <v>7.9</v>
      </c>
      <c r="D10" s="51"/>
      <c r="E10" s="51"/>
      <c r="F10" s="51"/>
      <c r="G10" s="51"/>
      <c r="H10" s="51">
        <v>169</v>
      </c>
      <c r="I10" s="51"/>
      <c r="J10" s="51"/>
      <c r="K10" s="51"/>
      <c r="L10" s="51" t="s">
        <v>165</v>
      </c>
      <c r="M10" s="51">
        <v>54.5</v>
      </c>
      <c r="N10" s="51"/>
      <c r="O10" s="51"/>
      <c r="P10" s="51"/>
      <c r="Q10" s="51" t="s">
        <v>229</v>
      </c>
      <c r="R10" s="52"/>
      <c r="S10" s="5"/>
      <c r="T10" s="5"/>
      <c r="U10" s="5"/>
    </row>
    <row r="11" spans="1:39">
      <c r="A11" s="120">
        <v>7</v>
      </c>
      <c r="B11" s="54">
        <v>1</v>
      </c>
      <c r="C11" s="55">
        <v>2.5</v>
      </c>
      <c r="D11" s="55"/>
      <c r="E11" s="55"/>
      <c r="F11" s="55"/>
      <c r="G11" s="55"/>
      <c r="H11" s="55">
        <v>170</v>
      </c>
      <c r="I11" s="55"/>
      <c r="J11" s="55">
        <v>290</v>
      </c>
      <c r="K11" s="55"/>
      <c r="L11" s="55" t="s">
        <v>165</v>
      </c>
      <c r="M11" s="55">
        <v>66.2</v>
      </c>
      <c r="N11" s="55"/>
      <c r="O11" s="55"/>
      <c r="P11" s="55"/>
      <c r="Q11" s="55" t="s">
        <v>229</v>
      </c>
      <c r="R11" s="56">
        <v>47.3</v>
      </c>
      <c r="S11" s="5"/>
      <c r="T11" s="5"/>
      <c r="U11" s="5"/>
    </row>
    <row r="12" spans="1:39">
      <c r="A12" s="154">
        <v>8</v>
      </c>
      <c r="B12" s="57">
        <v>1</v>
      </c>
      <c r="C12" s="58">
        <v>2.5</v>
      </c>
      <c r="D12" s="58"/>
      <c r="E12" s="58"/>
      <c r="F12" s="58"/>
      <c r="G12" s="58"/>
      <c r="H12" s="58">
        <v>171</v>
      </c>
      <c r="I12" s="58"/>
      <c r="J12" s="58">
        <v>258</v>
      </c>
      <c r="K12" s="58"/>
      <c r="L12" s="58" t="s">
        <v>165</v>
      </c>
      <c r="M12" s="58">
        <v>77</v>
      </c>
      <c r="N12" s="58"/>
      <c r="O12" s="58"/>
      <c r="P12" s="58"/>
      <c r="Q12" s="58" t="s">
        <v>229</v>
      </c>
      <c r="R12" s="59"/>
      <c r="S12" s="5"/>
      <c r="T12" s="5"/>
      <c r="U12" s="5"/>
    </row>
    <row r="13" spans="1:39">
      <c r="A13" s="156">
        <v>8</v>
      </c>
      <c r="B13" s="67">
        <v>2</v>
      </c>
      <c r="C13" s="68">
        <v>-15.8</v>
      </c>
      <c r="D13" s="68"/>
      <c r="E13" s="68"/>
      <c r="F13" s="68"/>
      <c r="G13" s="68"/>
      <c r="H13" s="68">
        <v>103</v>
      </c>
      <c r="I13" s="68"/>
      <c r="J13" s="68">
        <v>265</v>
      </c>
      <c r="K13" s="68"/>
      <c r="L13" s="68" t="s">
        <v>165</v>
      </c>
      <c r="M13" s="68">
        <v>47</v>
      </c>
      <c r="N13" s="68"/>
      <c r="O13" s="68"/>
      <c r="P13" s="68"/>
      <c r="Q13" s="68" t="s">
        <v>229</v>
      </c>
      <c r="R13" s="69"/>
      <c r="S13" s="5"/>
      <c r="T13" s="5"/>
      <c r="U13" s="5"/>
    </row>
    <row r="14" spans="1:39">
      <c r="A14" s="154">
        <v>9</v>
      </c>
      <c r="B14" s="57">
        <v>1</v>
      </c>
      <c r="C14" s="58">
        <v>4</v>
      </c>
      <c r="D14" s="58"/>
      <c r="E14" s="58"/>
      <c r="F14" s="58"/>
      <c r="G14" s="58"/>
      <c r="H14" s="58">
        <v>175</v>
      </c>
      <c r="I14" s="58"/>
      <c r="J14" s="58"/>
      <c r="K14" s="58"/>
      <c r="L14" s="58" t="s">
        <v>165</v>
      </c>
      <c r="M14" s="58"/>
      <c r="N14" s="58"/>
      <c r="O14" s="58"/>
      <c r="P14" s="58"/>
      <c r="Q14" s="58"/>
      <c r="R14" s="59"/>
      <c r="S14" s="5"/>
      <c r="T14" s="5"/>
      <c r="U14" s="5"/>
    </row>
    <row r="15" spans="1:39">
      <c r="A15" s="156">
        <v>9</v>
      </c>
      <c r="B15" s="67">
        <v>2</v>
      </c>
      <c r="C15" s="86">
        <v>-11</v>
      </c>
      <c r="D15" s="86"/>
      <c r="E15" s="68"/>
      <c r="F15" s="68"/>
      <c r="G15" s="68"/>
      <c r="H15" s="68">
        <v>173</v>
      </c>
      <c r="I15" s="68"/>
      <c r="J15" s="68"/>
      <c r="K15" s="68"/>
      <c r="L15" s="68" t="s">
        <v>165</v>
      </c>
      <c r="M15" s="68"/>
      <c r="N15" s="68"/>
      <c r="O15" s="68"/>
      <c r="P15" s="68"/>
      <c r="Q15" s="68"/>
      <c r="R15" s="69"/>
      <c r="S15" s="5"/>
      <c r="T15" s="5"/>
      <c r="U15" s="5"/>
    </row>
    <row r="16" spans="1:39">
      <c r="A16" s="154">
        <v>10</v>
      </c>
      <c r="B16" s="57">
        <v>1</v>
      </c>
      <c r="C16" s="58">
        <v>4</v>
      </c>
      <c r="D16" s="58"/>
      <c r="E16" s="58"/>
      <c r="F16" s="58"/>
      <c r="G16" s="58"/>
      <c r="H16" s="58">
        <v>177</v>
      </c>
      <c r="I16" s="58"/>
      <c r="J16" s="58"/>
      <c r="K16" s="58"/>
      <c r="L16" s="58" t="s">
        <v>165</v>
      </c>
      <c r="M16" s="58">
        <v>97</v>
      </c>
      <c r="N16" s="58"/>
      <c r="O16" s="58"/>
      <c r="P16" s="58"/>
      <c r="Q16" s="58" t="s">
        <v>229</v>
      </c>
      <c r="R16" s="59">
        <v>60</v>
      </c>
      <c r="S16" s="5"/>
      <c r="T16" s="5"/>
      <c r="U16" s="5"/>
    </row>
    <row r="17" spans="1:21">
      <c r="A17" s="154">
        <v>11</v>
      </c>
      <c r="B17" s="70">
        <v>1</v>
      </c>
      <c r="C17" s="71">
        <v>-10</v>
      </c>
      <c r="D17" s="71"/>
      <c r="E17" s="71"/>
      <c r="F17" s="71"/>
      <c r="G17" s="71"/>
      <c r="H17" s="71">
        <v>138</v>
      </c>
      <c r="I17" s="71"/>
      <c r="J17" s="71"/>
      <c r="K17" s="71"/>
      <c r="L17" s="71" t="s">
        <v>165</v>
      </c>
      <c r="M17" s="71"/>
      <c r="N17" s="71"/>
      <c r="O17" s="71"/>
      <c r="P17" s="71"/>
      <c r="Q17" s="71"/>
      <c r="R17" s="72"/>
      <c r="S17" s="5"/>
      <c r="T17" s="5"/>
      <c r="U17" s="5"/>
    </row>
    <row r="18" spans="1:21">
      <c r="A18" s="157">
        <v>11</v>
      </c>
      <c r="B18" s="73">
        <v>2</v>
      </c>
      <c r="C18" s="81">
        <v>-13</v>
      </c>
      <c r="D18" s="81"/>
      <c r="E18" s="74"/>
      <c r="F18" s="74"/>
      <c r="G18" s="74"/>
      <c r="H18" s="74">
        <v>75</v>
      </c>
      <c r="I18" s="74"/>
      <c r="J18" s="81"/>
      <c r="K18" s="74"/>
      <c r="L18" s="74" t="s">
        <v>165</v>
      </c>
      <c r="M18" s="74"/>
      <c r="N18" s="74"/>
      <c r="O18" s="74"/>
      <c r="P18" s="74"/>
      <c r="Q18" s="74"/>
      <c r="R18" s="75"/>
      <c r="S18" s="5"/>
      <c r="T18" s="5"/>
      <c r="U18" s="5"/>
    </row>
    <row r="19" spans="1:21">
      <c r="A19" s="157">
        <v>11</v>
      </c>
      <c r="B19" s="60">
        <v>3</v>
      </c>
      <c r="C19" s="84">
        <v>-6</v>
      </c>
      <c r="D19" s="84"/>
      <c r="E19" s="61"/>
      <c r="F19" s="61"/>
      <c r="G19" s="61"/>
      <c r="H19" s="61">
        <v>87</v>
      </c>
      <c r="I19" s="61"/>
      <c r="J19" s="84"/>
      <c r="K19" s="61"/>
      <c r="L19" s="61" t="s">
        <v>165</v>
      </c>
      <c r="M19" s="61"/>
      <c r="N19" s="61"/>
      <c r="O19" s="61"/>
      <c r="P19" s="61"/>
      <c r="Q19" s="61"/>
      <c r="R19" s="62"/>
      <c r="S19" s="5"/>
      <c r="T19" s="5"/>
      <c r="U19" s="5"/>
    </row>
    <row r="20" spans="1:21">
      <c r="A20" s="157">
        <v>11</v>
      </c>
      <c r="B20" s="63">
        <v>4</v>
      </c>
      <c r="C20" s="110">
        <v>10</v>
      </c>
      <c r="D20" s="110"/>
      <c r="E20" s="64"/>
      <c r="F20" s="64"/>
      <c r="G20" s="64"/>
      <c r="H20" s="64">
        <v>177</v>
      </c>
      <c r="I20" s="64"/>
      <c r="J20" s="64"/>
      <c r="K20" s="64"/>
      <c r="L20" s="64" t="s">
        <v>165</v>
      </c>
      <c r="M20" s="64"/>
      <c r="N20" s="64"/>
      <c r="O20" s="64"/>
      <c r="P20" s="64"/>
      <c r="Q20" s="64"/>
      <c r="R20" s="65"/>
      <c r="S20" s="5"/>
      <c r="T20" s="5"/>
      <c r="U20" s="5"/>
    </row>
    <row r="21" spans="1:21" ht="15.75" customHeight="1">
      <c r="A21" s="154">
        <v>12</v>
      </c>
      <c r="B21" s="70">
        <v>1</v>
      </c>
      <c r="C21" s="84">
        <v>-10.3</v>
      </c>
      <c r="D21" s="84">
        <v>-1.2</v>
      </c>
      <c r="E21" s="71"/>
      <c r="F21" s="71"/>
      <c r="G21" s="71"/>
      <c r="H21" s="71">
        <v>77.5</v>
      </c>
      <c r="I21" s="71">
        <v>159.19999999999999</v>
      </c>
      <c r="J21" s="71"/>
      <c r="K21" s="71"/>
      <c r="L21" s="71" t="s">
        <v>165</v>
      </c>
      <c r="M21" s="71">
        <v>19</v>
      </c>
      <c r="N21" s="71">
        <v>13.7</v>
      </c>
      <c r="O21" s="71"/>
      <c r="P21" s="71"/>
      <c r="Q21" s="71" t="s">
        <v>229</v>
      </c>
      <c r="R21" s="72"/>
      <c r="S21" s="5"/>
      <c r="T21" s="5"/>
      <c r="U21" s="5"/>
    </row>
    <row r="22" spans="1:21" ht="15.75" customHeight="1">
      <c r="A22" s="157">
        <v>12</v>
      </c>
      <c r="B22" s="63">
        <v>2</v>
      </c>
      <c r="C22" s="110">
        <v>-11.8</v>
      </c>
      <c r="D22" s="110">
        <v>1.4</v>
      </c>
      <c r="E22" s="64"/>
      <c r="F22" s="64"/>
      <c r="G22" s="64"/>
      <c r="H22" s="64">
        <v>88.8</v>
      </c>
      <c r="I22" s="64">
        <v>160.6</v>
      </c>
      <c r="J22" s="64"/>
      <c r="K22" s="64"/>
      <c r="L22" s="64" t="s">
        <v>165</v>
      </c>
      <c r="M22" s="64">
        <v>49.7</v>
      </c>
      <c r="N22" s="64">
        <v>2.8</v>
      </c>
      <c r="O22" s="64"/>
      <c r="P22" s="64"/>
      <c r="Q22" s="64" t="s">
        <v>229</v>
      </c>
      <c r="R22" s="65"/>
      <c r="S22" s="5"/>
      <c r="T22" s="5"/>
      <c r="U22" s="5"/>
    </row>
    <row r="23" spans="1:21" ht="15.75" customHeight="1">
      <c r="A23" s="154">
        <v>13</v>
      </c>
      <c r="B23" s="70">
        <v>1</v>
      </c>
      <c r="C23" s="84">
        <v>3</v>
      </c>
      <c r="D23" s="84"/>
      <c r="E23" s="71">
        <v>48.9</v>
      </c>
      <c r="F23" s="79"/>
      <c r="G23" s="79"/>
      <c r="H23" s="79">
        <v>176.7</v>
      </c>
      <c r="I23" s="79"/>
      <c r="J23" s="71"/>
      <c r="K23" s="71"/>
      <c r="L23" s="71" t="s">
        <v>165</v>
      </c>
      <c r="M23" s="71">
        <v>83.5</v>
      </c>
      <c r="N23" s="71"/>
      <c r="O23" s="71">
        <v>-39.9</v>
      </c>
      <c r="P23" s="71"/>
      <c r="Q23" s="71" t="s">
        <v>229</v>
      </c>
      <c r="R23" s="72"/>
      <c r="S23" s="5"/>
      <c r="T23" s="5"/>
      <c r="U23" s="5"/>
    </row>
    <row r="24" spans="1:21" ht="15.75" customHeight="1">
      <c r="A24" s="157">
        <v>13</v>
      </c>
      <c r="B24" s="73">
        <v>2</v>
      </c>
      <c r="C24" s="81">
        <v>3</v>
      </c>
      <c r="D24" s="81"/>
      <c r="E24" s="74">
        <v>55.2</v>
      </c>
      <c r="F24" s="74"/>
      <c r="G24" s="74"/>
      <c r="H24" s="74">
        <v>177.3</v>
      </c>
      <c r="I24" s="74"/>
      <c r="J24" s="74"/>
      <c r="K24" s="74"/>
      <c r="L24" s="74" t="s">
        <v>165</v>
      </c>
      <c r="M24" s="74">
        <v>85.6</v>
      </c>
      <c r="N24" s="74"/>
      <c r="O24" s="74">
        <v>-40.799999999999997</v>
      </c>
      <c r="P24" s="74"/>
      <c r="Q24" s="74" t="s">
        <v>229</v>
      </c>
      <c r="R24" s="75"/>
      <c r="S24" s="5"/>
      <c r="T24" s="5"/>
      <c r="U24" s="5"/>
    </row>
    <row r="25" spans="1:21" ht="15.75" customHeight="1">
      <c r="A25" s="157">
        <v>13</v>
      </c>
      <c r="B25" s="60">
        <v>3</v>
      </c>
      <c r="C25" s="84">
        <v>-13</v>
      </c>
      <c r="D25" s="84"/>
      <c r="E25" s="61"/>
      <c r="F25" s="61"/>
      <c r="G25" s="61"/>
      <c r="H25" s="61">
        <v>77.7</v>
      </c>
      <c r="I25" s="61"/>
      <c r="J25" s="61"/>
      <c r="K25" s="61"/>
      <c r="L25" s="61" t="s">
        <v>165</v>
      </c>
      <c r="M25" s="61">
        <v>21.8</v>
      </c>
      <c r="N25" s="61"/>
      <c r="O25" s="61"/>
      <c r="P25" s="61"/>
      <c r="Q25" s="61" t="s">
        <v>229</v>
      </c>
      <c r="R25" s="62"/>
      <c r="S25" s="5"/>
      <c r="T25" s="5"/>
      <c r="U25" s="5"/>
    </row>
    <row r="26" spans="1:21" ht="15.75" customHeight="1">
      <c r="A26" s="157">
        <v>13</v>
      </c>
      <c r="B26" s="73">
        <v>4</v>
      </c>
      <c r="C26" s="81">
        <v>3</v>
      </c>
      <c r="D26" s="81"/>
      <c r="E26" s="74">
        <v>58.9</v>
      </c>
      <c r="F26" s="74"/>
      <c r="G26" s="74"/>
      <c r="H26" s="74">
        <v>171.1</v>
      </c>
      <c r="I26" s="74"/>
      <c r="J26" s="74"/>
      <c r="K26" s="74"/>
      <c r="L26" s="74" t="s">
        <v>165</v>
      </c>
      <c r="M26" s="74">
        <v>61.4</v>
      </c>
      <c r="N26" s="74"/>
      <c r="O26" s="74">
        <v>-32.700000000000003</v>
      </c>
      <c r="P26" s="74"/>
      <c r="Q26" s="74" t="s">
        <v>229</v>
      </c>
      <c r="R26" s="75"/>
      <c r="S26" s="5"/>
      <c r="T26" s="5"/>
      <c r="U26" s="5"/>
    </row>
    <row r="27" spans="1:21" ht="15.75" customHeight="1">
      <c r="A27" s="157">
        <v>13</v>
      </c>
      <c r="B27" s="60">
        <v>5</v>
      </c>
      <c r="C27" s="84">
        <v>-14</v>
      </c>
      <c r="D27" s="84"/>
      <c r="E27" s="61">
        <v>52.4</v>
      </c>
      <c r="F27" s="61"/>
      <c r="G27" s="61"/>
      <c r="H27" s="61">
        <v>99.7</v>
      </c>
      <c r="I27" s="61"/>
      <c r="J27" s="61"/>
      <c r="K27" s="61"/>
      <c r="L27" s="61" t="s">
        <v>165</v>
      </c>
      <c r="M27" s="61">
        <v>43.7</v>
      </c>
      <c r="N27" s="61"/>
      <c r="O27" s="61">
        <v>-42</v>
      </c>
      <c r="P27" s="61"/>
      <c r="Q27" s="61" t="s">
        <v>229</v>
      </c>
      <c r="R27" s="62"/>
      <c r="S27" s="5"/>
      <c r="T27" s="5"/>
      <c r="U27" s="5"/>
    </row>
    <row r="28" spans="1:21" ht="15.75" customHeight="1">
      <c r="A28" s="157">
        <v>13</v>
      </c>
      <c r="B28" s="73">
        <v>6</v>
      </c>
      <c r="C28" s="81">
        <v>2</v>
      </c>
      <c r="D28" s="81">
        <v>-13</v>
      </c>
      <c r="E28" s="74"/>
      <c r="F28" s="74"/>
      <c r="G28" s="74"/>
      <c r="H28" s="74">
        <v>148.30000000000001</v>
      </c>
      <c r="I28" s="74">
        <v>157.69999999999999</v>
      </c>
      <c r="J28" s="74"/>
      <c r="K28" s="74"/>
      <c r="L28" s="74" t="s">
        <v>165</v>
      </c>
      <c r="M28" s="74">
        <v>4.5</v>
      </c>
      <c r="N28" s="74">
        <v>12.4</v>
      </c>
      <c r="O28" s="74"/>
      <c r="P28" s="74"/>
      <c r="Q28" s="74" t="s">
        <v>229</v>
      </c>
      <c r="R28" s="75"/>
      <c r="S28" s="5"/>
      <c r="T28" s="5"/>
      <c r="U28" s="5"/>
    </row>
    <row r="29" spans="1:21" ht="15.75" customHeight="1">
      <c r="A29" s="157">
        <v>13</v>
      </c>
      <c r="B29" s="60">
        <v>7</v>
      </c>
      <c r="C29" s="84">
        <v>-15</v>
      </c>
      <c r="D29" s="84"/>
      <c r="E29" s="61">
        <v>50.7</v>
      </c>
      <c r="F29" s="61"/>
      <c r="G29" s="61"/>
      <c r="H29" s="61">
        <v>102.9</v>
      </c>
      <c r="I29" s="61"/>
      <c r="J29" s="61"/>
      <c r="K29" s="61"/>
      <c r="L29" s="61" t="s">
        <v>165</v>
      </c>
      <c r="M29" s="61">
        <v>49.8</v>
      </c>
      <c r="N29" s="61"/>
      <c r="O29" s="61">
        <v>-45.2</v>
      </c>
      <c r="P29" s="61"/>
      <c r="Q29" s="61" t="s">
        <v>229</v>
      </c>
      <c r="R29" s="62"/>
      <c r="S29" s="5"/>
      <c r="T29" s="5"/>
      <c r="U29" s="5"/>
    </row>
    <row r="30" spans="1:21" ht="15.75" customHeight="1">
      <c r="A30" s="157">
        <v>13</v>
      </c>
      <c r="B30" s="73">
        <v>8</v>
      </c>
      <c r="C30" s="74">
        <v>-1</v>
      </c>
      <c r="D30" s="74">
        <v>-14</v>
      </c>
      <c r="E30" s="74"/>
      <c r="F30" s="74"/>
      <c r="G30" s="74"/>
      <c r="H30" s="74">
        <v>99.5</v>
      </c>
      <c r="I30" s="74"/>
      <c r="J30" s="74"/>
      <c r="K30" s="74"/>
      <c r="L30" s="74" t="s">
        <v>165</v>
      </c>
      <c r="M30" s="74">
        <v>0.5</v>
      </c>
      <c r="N30" s="74"/>
      <c r="O30" s="74"/>
      <c r="P30" s="74"/>
      <c r="Q30" s="74" t="s">
        <v>229</v>
      </c>
      <c r="R30" s="75"/>
      <c r="S30" s="5"/>
      <c r="T30" s="5"/>
      <c r="U30" s="5"/>
    </row>
    <row r="31" spans="1:21" ht="15.75" customHeight="1">
      <c r="A31" s="157">
        <v>13</v>
      </c>
      <c r="B31" s="60">
        <v>9</v>
      </c>
      <c r="C31" s="84">
        <v>-15</v>
      </c>
      <c r="D31" s="84"/>
      <c r="E31" s="61">
        <v>44.9</v>
      </c>
      <c r="F31" s="61"/>
      <c r="G31" s="61"/>
      <c r="H31" s="61">
        <v>104.8</v>
      </c>
      <c r="I31" s="61"/>
      <c r="J31" s="61"/>
      <c r="K31" s="61"/>
      <c r="L31" s="61" t="s">
        <v>165</v>
      </c>
      <c r="M31" s="61">
        <v>54.5</v>
      </c>
      <c r="N31" s="61"/>
      <c r="O31" s="61">
        <v>-46.9</v>
      </c>
      <c r="P31" s="61"/>
      <c r="Q31" s="61" t="s">
        <v>229</v>
      </c>
      <c r="R31" s="62"/>
      <c r="S31" s="5"/>
      <c r="T31" s="5"/>
      <c r="U31" s="5"/>
    </row>
    <row r="32" spans="1:21" ht="15.75" customHeight="1">
      <c r="A32" s="157">
        <v>13</v>
      </c>
      <c r="B32" s="73">
        <v>10</v>
      </c>
      <c r="C32" s="74">
        <v>-4</v>
      </c>
      <c r="D32" s="74">
        <v>-14</v>
      </c>
      <c r="E32" s="74"/>
      <c r="F32" s="74"/>
      <c r="G32" s="74"/>
      <c r="H32" s="74">
        <v>99.2</v>
      </c>
      <c r="I32" s="74"/>
      <c r="J32" s="74"/>
      <c r="K32" s="74"/>
      <c r="L32" s="74" t="s">
        <v>165</v>
      </c>
      <c r="M32" s="74">
        <v>0.9</v>
      </c>
      <c r="N32" s="74"/>
      <c r="O32" s="74"/>
      <c r="P32" s="74"/>
      <c r="Q32" s="74" t="s">
        <v>229</v>
      </c>
      <c r="R32" s="75"/>
      <c r="S32" s="5"/>
      <c r="T32" s="5"/>
      <c r="U32" s="5"/>
    </row>
    <row r="33" spans="1:21" ht="15.75" customHeight="1">
      <c r="A33" s="157">
        <v>13</v>
      </c>
      <c r="B33" s="60">
        <v>11</v>
      </c>
      <c r="C33" s="84">
        <v>3</v>
      </c>
      <c r="D33" s="84"/>
      <c r="E33" s="61">
        <v>47.1</v>
      </c>
      <c r="F33" s="61"/>
      <c r="G33" s="61"/>
      <c r="H33" s="61">
        <v>176.6</v>
      </c>
      <c r="I33" s="61"/>
      <c r="J33" s="61"/>
      <c r="K33" s="61"/>
      <c r="L33" s="61" t="s">
        <v>165</v>
      </c>
      <c r="M33" s="61">
        <v>83.1</v>
      </c>
      <c r="N33" s="61"/>
      <c r="O33" s="61">
        <v>-38.200000000000003</v>
      </c>
      <c r="P33" s="61"/>
      <c r="Q33" s="61" t="s">
        <v>229</v>
      </c>
      <c r="R33" s="62"/>
      <c r="S33" s="5"/>
      <c r="T33" s="5"/>
      <c r="U33" s="5"/>
    </row>
    <row r="34" spans="1:21" ht="15.75" customHeight="1">
      <c r="A34" s="157">
        <v>13</v>
      </c>
      <c r="B34" s="73">
        <v>12</v>
      </c>
      <c r="C34" s="81">
        <v>3</v>
      </c>
      <c r="D34" s="81"/>
      <c r="E34" s="74">
        <v>52.2</v>
      </c>
      <c r="F34" s="74"/>
      <c r="G34" s="74"/>
      <c r="H34" s="74">
        <v>176</v>
      </c>
      <c r="I34" s="74"/>
      <c r="J34" s="74"/>
      <c r="K34" s="74"/>
      <c r="L34" s="74" t="s">
        <v>165</v>
      </c>
      <c r="M34" s="74">
        <v>84.2</v>
      </c>
      <c r="N34" s="74"/>
      <c r="O34" s="74">
        <v>-41</v>
      </c>
      <c r="P34" s="74"/>
      <c r="Q34" s="74" t="s">
        <v>229</v>
      </c>
      <c r="R34" s="75"/>
      <c r="S34" s="5"/>
      <c r="T34" s="5"/>
      <c r="U34" s="5"/>
    </row>
    <row r="35" spans="1:21" ht="15.75" customHeight="1">
      <c r="A35" s="157">
        <v>13</v>
      </c>
      <c r="B35" s="60">
        <v>13</v>
      </c>
      <c r="C35" s="84">
        <v>-11</v>
      </c>
      <c r="D35" s="84"/>
      <c r="E35" s="61"/>
      <c r="F35" s="61"/>
      <c r="G35" s="61"/>
      <c r="H35" s="61">
        <v>80.8</v>
      </c>
      <c r="I35" s="61"/>
      <c r="J35" s="61"/>
      <c r="K35" s="61"/>
      <c r="L35" s="61" t="s">
        <v>165</v>
      </c>
      <c r="M35" s="61">
        <v>48.5</v>
      </c>
      <c r="N35" s="61"/>
      <c r="O35" s="61"/>
      <c r="P35" s="61"/>
      <c r="Q35" s="61" t="s">
        <v>229</v>
      </c>
      <c r="R35" s="62"/>
      <c r="S35" s="5"/>
      <c r="T35" s="5"/>
      <c r="U35" s="5"/>
    </row>
    <row r="36" spans="1:21" ht="15.75" customHeight="1">
      <c r="A36" s="157">
        <v>13</v>
      </c>
      <c r="B36" s="73">
        <v>14</v>
      </c>
      <c r="C36" s="81">
        <v>3</v>
      </c>
      <c r="D36" s="81"/>
      <c r="E36" s="74">
        <v>57.7</v>
      </c>
      <c r="F36" s="74"/>
      <c r="G36" s="74"/>
      <c r="H36" s="74">
        <v>168.7</v>
      </c>
      <c r="I36" s="74"/>
      <c r="J36" s="74"/>
      <c r="K36" s="74"/>
      <c r="L36" s="74" t="s">
        <v>165</v>
      </c>
      <c r="M36" s="74">
        <v>67.900000000000006</v>
      </c>
      <c r="N36" s="74"/>
      <c r="O36" s="74">
        <v>-36.5</v>
      </c>
      <c r="P36" s="74"/>
      <c r="Q36" s="74" t="s">
        <v>229</v>
      </c>
      <c r="R36" s="75"/>
      <c r="S36" s="5"/>
      <c r="T36" s="5"/>
      <c r="U36" s="5"/>
    </row>
    <row r="37" spans="1:21" ht="15.75" customHeight="1">
      <c r="A37" s="157">
        <v>13</v>
      </c>
      <c r="B37" s="60">
        <v>15</v>
      </c>
      <c r="C37" s="84">
        <v>-14</v>
      </c>
      <c r="D37" s="84"/>
      <c r="E37" s="61">
        <v>49.1</v>
      </c>
      <c r="F37" s="61"/>
      <c r="G37" s="61"/>
      <c r="H37" s="61">
        <v>100</v>
      </c>
      <c r="I37" s="61"/>
      <c r="J37" s="61"/>
      <c r="K37" s="61"/>
      <c r="L37" s="61" t="s">
        <v>165</v>
      </c>
      <c r="M37" s="61">
        <v>47.3</v>
      </c>
      <c r="N37" s="61"/>
      <c r="O37" s="61">
        <v>-41.7</v>
      </c>
      <c r="P37" s="61"/>
      <c r="Q37" s="61" t="s">
        <v>229</v>
      </c>
      <c r="R37" s="62"/>
      <c r="S37" s="5"/>
      <c r="T37" s="5"/>
      <c r="U37" s="5"/>
    </row>
    <row r="38" spans="1:21" ht="15.75" customHeight="1">
      <c r="A38" s="157">
        <v>13</v>
      </c>
      <c r="B38" s="73">
        <v>16</v>
      </c>
      <c r="C38" s="81">
        <v>1</v>
      </c>
      <c r="D38" s="81">
        <v>-14</v>
      </c>
      <c r="E38" s="74">
        <v>62.4</v>
      </c>
      <c r="F38" s="74"/>
      <c r="G38" s="74"/>
      <c r="H38" s="74">
        <v>151.19999999999999</v>
      </c>
      <c r="I38" s="74">
        <v>163.4</v>
      </c>
      <c r="J38" s="74"/>
      <c r="K38" s="74"/>
      <c r="L38" s="74" t="s">
        <v>165</v>
      </c>
      <c r="M38" s="74">
        <v>2.4</v>
      </c>
      <c r="N38" s="74">
        <v>17</v>
      </c>
      <c r="O38" s="74">
        <v>-24</v>
      </c>
      <c r="P38" s="74"/>
      <c r="Q38" s="74" t="s">
        <v>229</v>
      </c>
      <c r="R38" s="75"/>
      <c r="S38" s="5"/>
      <c r="T38" s="5"/>
      <c r="U38" s="5"/>
    </row>
    <row r="39" spans="1:21" ht="15.75" customHeight="1">
      <c r="A39" s="157">
        <v>13</v>
      </c>
      <c r="B39" s="60">
        <v>17</v>
      </c>
      <c r="C39" s="84">
        <v>-15</v>
      </c>
      <c r="D39" s="84"/>
      <c r="E39" s="61">
        <v>42.1</v>
      </c>
      <c r="F39" s="61"/>
      <c r="G39" s="61"/>
      <c r="H39" s="61">
        <v>101.8</v>
      </c>
      <c r="I39" s="61"/>
      <c r="J39" s="61"/>
      <c r="K39" s="61"/>
      <c r="L39" s="61" t="s">
        <v>165</v>
      </c>
      <c r="M39" s="61">
        <v>48.7</v>
      </c>
      <c r="N39" s="61"/>
      <c r="O39" s="61">
        <v>-45.3</v>
      </c>
      <c r="P39" s="61"/>
      <c r="Q39" s="61" t="s">
        <v>229</v>
      </c>
      <c r="R39" s="62"/>
      <c r="S39" s="5"/>
      <c r="T39" s="5"/>
      <c r="U39" s="5"/>
    </row>
    <row r="40" spans="1:21" ht="15.75" customHeight="1">
      <c r="A40" s="157">
        <v>13</v>
      </c>
      <c r="B40" s="73">
        <v>18</v>
      </c>
      <c r="C40" s="74">
        <v>-1</v>
      </c>
      <c r="D40" s="74">
        <v>-14</v>
      </c>
      <c r="E40" s="74"/>
      <c r="F40" s="74"/>
      <c r="G40" s="74"/>
      <c r="H40" s="74">
        <v>102.1</v>
      </c>
      <c r="I40" s="74"/>
      <c r="J40" s="74"/>
      <c r="K40" s="74"/>
      <c r="L40" s="74" t="s">
        <v>165</v>
      </c>
      <c r="M40" s="74">
        <v>2.8</v>
      </c>
      <c r="N40" s="74"/>
      <c r="O40" s="74"/>
      <c r="P40" s="74"/>
      <c r="Q40" s="74" t="s">
        <v>229</v>
      </c>
      <c r="R40" s="75"/>
      <c r="S40" s="5"/>
      <c r="T40" s="5"/>
      <c r="U40" s="5"/>
    </row>
    <row r="41" spans="1:21" ht="15.75" customHeight="1">
      <c r="A41" s="157">
        <v>13</v>
      </c>
      <c r="B41" s="60">
        <v>19</v>
      </c>
      <c r="C41" s="84">
        <v>-15</v>
      </c>
      <c r="D41" s="84"/>
      <c r="E41" s="61">
        <v>43.1</v>
      </c>
      <c r="F41" s="61"/>
      <c r="G41" s="61"/>
      <c r="H41" s="61">
        <v>103.1</v>
      </c>
      <c r="I41" s="61"/>
      <c r="J41" s="61"/>
      <c r="K41" s="61"/>
      <c r="L41" s="61" t="s">
        <v>165</v>
      </c>
      <c r="M41" s="61">
        <v>47.5</v>
      </c>
      <c r="N41" s="61"/>
      <c r="O41" s="61">
        <v>-42</v>
      </c>
      <c r="P41" s="61"/>
      <c r="Q41" s="61" t="s">
        <v>229</v>
      </c>
      <c r="R41" s="62"/>
      <c r="S41" s="5"/>
      <c r="T41" s="5"/>
      <c r="U41" s="5"/>
    </row>
    <row r="42" spans="1:21" ht="15.75" customHeight="1">
      <c r="A42" s="156">
        <v>13</v>
      </c>
      <c r="B42" s="73">
        <v>20</v>
      </c>
      <c r="C42" s="64">
        <v>-3</v>
      </c>
      <c r="D42" s="64">
        <v>-14</v>
      </c>
      <c r="E42" s="64"/>
      <c r="F42" s="64"/>
      <c r="G42" s="64"/>
      <c r="H42" s="64">
        <v>103.4</v>
      </c>
      <c r="I42" s="64"/>
      <c r="J42" s="64"/>
      <c r="K42" s="64"/>
      <c r="L42" s="64" t="s">
        <v>165</v>
      </c>
      <c r="M42" s="64">
        <v>1.2</v>
      </c>
      <c r="N42" s="64"/>
      <c r="O42" s="64"/>
      <c r="P42" s="77"/>
      <c r="Q42" s="74" t="s">
        <v>229</v>
      </c>
      <c r="R42" s="65"/>
      <c r="S42" s="5"/>
      <c r="T42" s="5"/>
      <c r="U42" s="5"/>
    </row>
    <row r="43" spans="1:21" ht="15.75" customHeight="1">
      <c r="A43" s="157">
        <v>14</v>
      </c>
      <c r="B43" s="70">
        <v>1</v>
      </c>
      <c r="C43" s="79">
        <v>-6.6</v>
      </c>
      <c r="D43" s="79"/>
      <c r="E43" s="71"/>
      <c r="F43" s="71"/>
      <c r="G43" s="71"/>
      <c r="H43" s="71">
        <v>99</v>
      </c>
      <c r="I43" s="71"/>
      <c r="J43" s="71"/>
      <c r="K43" s="71"/>
      <c r="L43" s="71" t="s">
        <v>165</v>
      </c>
      <c r="M43" s="71"/>
      <c r="N43" s="71"/>
      <c r="O43" s="71"/>
      <c r="P43" s="71"/>
      <c r="Q43" s="71"/>
      <c r="R43" s="72">
        <v>9</v>
      </c>
      <c r="S43" s="5"/>
      <c r="T43" s="5"/>
      <c r="U43" s="5"/>
    </row>
    <row r="44" spans="1:21" ht="15.75" customHeight="1">
      <c r="A44" s="157">
        <v>14</v>
      </c>
      <c r="B44" s="73">
        <v>2</v>
      </c>
      <c r="C44" s="81">
        <v>-9.6999999999999993</v>
      </c>
      <c r="D44" s="81"/>
      <c r="E44" s="74"/>
      <c r="F44" s="74"/>
      <c r="G44" s="74"/>
      <c r="H44" s="74">
        <v>105</v>
      </c>
      <c r="I44" s="74"/>
      <c r="J44" s="74"/>
      <c r="K44" s="74"/>
      <c r="L44" s="74" t="s">
        <v>165</v>
      </c>
      <c r="M44" s="74"/>
      <c r="N44" s="74"/>
      <c r="O44" s="74"/>
      <c r="P44" s="74"/>
      <c r="Q44" s="74"/>
      <c r="R44" s="75">
        <v>34</v>
      </c>
      <c r="S44" s="5"/>
      <c r="T44" s="5"/>
      <c r="U44" s="5"/>
    </row>
    <row r="45" spans="1:21" ht="15.75" customHeight="1">
      <c r="A45" s="157">
        <v>14</v>
      </c>
      <c r="B45" s="60">
        <v>3</v>
      </c>
      <c r="C45" s="84">
        <v>-3.9</v>
      </c>
      <c r="D45" s="84"/>
      <c r="E45" s="61"/>
      <c r="F45" s="61"/>
      <c r="G45" s="61"/>
      <c r="H45" s="61">
        <v>106</v>
      </c>
      <c r="I45" s="61"/>
      <c r="J45" s="61"/>
      <c r="K45" s="61"/>
      <c r="L45" s="61" t="s">
        <v>165</v>
      </c>
      <c r="M45" s="61"/>
      <c r="N45" s="61"/>
      <c r="O45" s="61"/>
      <c r="P45" s="61"/>
      <c r="Q45" s="61"/>
      <c r="R45" s="62">
        <v>28</v>
      </c>
      <c r="S45" s="5"/>
      <c r="T45" s="5"/>
      <c r="U45" s="5"/>
    </row>
    <row r="46" spans="1:21" ht="15.75" customHeight="1">
      <c r="A46" s="157">
        <v>14</v>
      </c>
      <c r="B46" s="63">
        <v>4</v>
      </c>
      <c r="C46" s="110">
        <v>-3.7</v>
      </c>
      <c r="D46" s="110"/>
      <c r="E46" s="64"/>
      <c r="F46" s="64"/>
      <c r="G46" s="64"/>
      <c r="H46" s="64">
        <v>112</v>
      </c>
      <c r="I46" s="64"/>
      <c r="J46" s="64"/>
      <c r="K46" s="64"/>
      <c r="L46" s="64" t="s">
        <v>165</v>
      </c>
      <c r="M46" s="64"/>
      <c r="N46" s="64"/>
      <c r="O46" s="64"/>
      <c r="P46" s="64"/>
      <c r="Q46" s="64"/>
      <c r="R46" s="65">
        <v>5</v>
      </c>
      <c r="S46" s="5"/>
      <c r="T46" s="5"/>
      <c r="U46" s="5"/>
    </row>
    <row r="47" spans="1:21" ht="15.75" customHeight="1">
      <c r="A47" s="154">
        <v>15</v>
      </c>
      <c r="B47" s="70">
        <v>1</v>
      </c>
      <c r="C47" s="79">
        <v>-9.9</v>
      </c>
      <c r="D47" s="79"/>
      <c r="E47" s="71"/>
      <c r="F47" s="71"/>
      <c r="G47" s="71"/>
      <c r="H47" s="71">
        <v>102.3</v>
      </c>
      <c r="I47" s="71"/>
      <c r="J47" s="71">
        <v>226.9</v>
      </c>
      <c r="K47" s="71">
        <v>351.7</v>
      </c>
      <c r="L47" s="71" t="s">
        <v>165</v>
      </c>
      <c r="M47" s="71"/>
      <c r="N47" s="71"/>
      <c r="O47" s="71"/>
      <c r="P47" s="71"/>
      <c r="Q47" s="71"/>
      <c r="R47" s="72"/>
      <c r="S47" s="5"/>
      <c r="T47" s="5"/>
      <c r="U47" s="5"/>
    </row>
    <row r="48" spans="1:21" ht="15.75" customHeight="1">
      <c r="A48" s="157">
        <v>15</v>
      </c>
      <c r="B48" s="73">
        <v>2</v>
      </c>
      <c r="C48" s="81">
        <v>-17.8</v>
      </c>
      <c r="D48" s="81"/>
      <c r="E48" s="74">
        <v>56</v>
      </c>
      <c r="F48" s="74"/>
      <c r="G48" s="74"/>
      <c r="H48" s="74">
        <v>108</v>
      </c>
      <c r="I48" s="74"/>
      <c r="J48" s="74">
        <v>253.6</v>
      </c>
      <c r="K48" s="74"/>
      <c r="L48" s="74" t="s">
        <v>165</v>
      </c>
      <c r="M48" s="74"/>
      <c r="N48" s="74"/>
      <c r="O48" s="74"/>
      <c r="P48" s="74"/>
      <c r="Q48" s="74"/>
      <c r="R48" s="75"/>
      <c r="S48" s="5"/>
      <c r="T48" s="5"/>
      <c r="U48" s="5"/>
    </row>
    <row r="49" spans="1:21" ht="15.75" customHeight="1">
      <c r="A49" s="157">
        <v>15</v>
      </c>
      <c r="B49" s="60">
        <v>3</v>
      </c>
      <c r="C49" s="84">
        <v>-0.5</v>
      </c>
      <c r="D49" s="84"/>
      <c r="E49" s="61">
        <v>64.7</v>
      </c>
      <c r="F49" s="61"/>
      <c r="G49" s="61"/>
      <c r="H49" s="61">
        <v>128.4</v>
      </c>
      <c r="I49" s="61">
        <v>165.8</v>
      </c>
      <c r="J49" s="61">
        <v>245</v>
      </c>
      <c r="K49" s="61"/>
      <c r="L49" s="61" t="s">
        <v>165</v>
      </c>
      <c r="M49" s="61"/>
      <c r="N49" s="61"/>
      <c r="O49" s="61"/>
      <c r="P49" s="61"/>
      <c r="Q49" s="61"/>
      <c r="R49" s="62"/>
      <c r="S49" s="5"/>
      <c r="T49" s="5"/>
      <c r="U49" s="5"/>
    </row>
    <row r="50" spans="1:21" ht="15.75" customHeight="1">
      <c r="A50" s="157">
        <v>15</v>
      </c>
      <c r="B50" s="73">
        <v>4</v>
      </c>
      <c r="C50" s="81">
        <v>-9.6</v>
      </c>
      <c r="D50" s="81"/>
      <c r="E50" s="74"/>
      <c r="F50" s="74"/>
      <c r="G50" s="74"/>
      <c r="H50" s="74">
        <v>73.7</v>
      </c>
      <c r="I50" s="74">
        <v>101.3</v>
      </c>
      <c r="J50" s="74">
        <v>232.6</v>
      </c>
      <c r="K50" s="74">
        <v>373.1</v>
      </c>
      <c r="L50" s="74" t="s">
        <v>165</v>
      </c>
      <c r="M50" s="74"/>
      <c r="N50" s="74"/>
      <c r="O50" s="74"/>
      <c r="P50" s="74"/>
      <c r="Q50" s="74"/>
      <c r="R50" s="75"/>
      <c r="S50" s="5"/>
      <c r="T50" s="5"/>
      <c r="U50" s="5"/>
    </row>
    <row r="51" spans="1:21" ht="15.75" customHeight="1" thickBot="1">
      <c r="A51" s="157">
        <v>15</v>
      </c>
      <c r="B51" s="60">
        <v>5</v>
      </c>
      <c r="C51" s="84">
        <v>-5.5</v>
      </c>
      <c r="D51" s="84"/>
      <c r="E51" s="61"/>
      <c r="F51" s="61"/>
      <c r="G51" s="61"/>
      <c r="H51" s="61">
        <v>84.3</v>
      </c>
      <c r="I51" s="61">
        <v>134.30000000000001</v>
      </c>
      <c r="J51" s="61">
        <v>267.39999999999998</v>
      </c>
      <c r="K51" s="61"/>
      <c r="L51" s="61" t="s">
        <v>165</v>
      </c>
      <c r="M51" s="61"/>
      <c r="N51" s="61"/>
      <c r="O51" s="61"/>
      <c r="P51" s="61"/>
      <c r="Q51" s="61"/>
      <c r="R51" s="62"/>
      <c r="S51" s="5"/>
      <c r="T51" s="5"/>
      <c r="U51" s="5"/>
    </row>
    <row r="52" spans="1:21" ht="15.75" customHeight="1">
      <c r="A52" s="154">
        <v>17</v>
      </c>
      <c r="B52" s="70">
        <v>1</v>
      </c>
      <c r="C52" s="79">
        <v>2.2000000000000002</v>
      </c>
      <c r="D52" s="79"/>
      <c r="E52" s="71"/>
      <c r="F52" s="71"/>
      <c r="G52" s="71"/>
      <c r="H52" s="71">
        <v>177.8</v>
      </c>
      <c r="I52" s="71"/>
      <c r="J52" s="71"/>
      <c r="K52" s="71"/>
      <c r="L52" s="71" t="s">
        <v>165</v>
      </c>
      <c r="M52" s="71"/>
      <c r="N52" s="71"/>
      <c r="O52" s="71"/>
      <c r="P52" s="71"/>
      <c r="Q52" s="71"/>
      <c r="R52" s="72">
        <v>66.400000000000006</v>
      </c>
      <c r="S52" s="5"/>
      <c r="T52" s="5"/>
      <c r="U52" s="5"/>
    </row>
    <row r="53" spans="1:21" ht="15.75" customHeight="1">
      <c r="A53" s="156">
        <v>17</v>
      </c>
      <c r="B53" s="63">
        <v>2</v>
      </c>
      <c r="C53" s="110">
        <v>3.4</v>
      </c>
      <c r="D53" s="110"/>
      <c r="E53" s="64"/>
      <c r="F53" s="64"/>
      <c r="G53" s="64"/>
      <c r="H53" s="64">
        <v>175.9</v>
      </c>
      <c r="I53" s="64"/>
      <c r="J53" s="64"/>
      <c r="K53" s="64"/>
      <c r="L53" s="64" t="s">
        <v>165</v>
      </c>
      <c r="M53" s="64"/>
      <c r="N53" s="64"/>
      <c r="O53" s="64"/>
      <c r="P53" s="64"/>
      <c r="Q53" s="64"/>
      <c r="R53" s="65">
        <v>67.8</v>
      </c>
      <c r="S53" s="5"/>
      <c r="T53" s="5"/>
      <c r="U53" s="5"/>
    </row>
    <row r="54" spans="1:21" ht="15.75" customHeight="1">
      <c r="A54" s="154">
        <v>18</v>
      </c>
      <c r="B54" s="12">
        <v>1</v>
      </c>
      <c r="C54" s="13">
        <v>-7.18</v>
      </c>
      <c r="D54" s="13"/>
      <c r="E54" s="13">
        <v>79.39</v>
      </c>
      <c r="F54" s="13"/>
      <c r="G54" s="13"/>
      <c r="H54" s="13">
        <v>131.77000000000001</v>
      </c>
      <c r="I54" s="13">
        <v>142.63999999999999</v>
      </c>
      <c r="J54" s="220"/>
      <c r="K54" s="13"/>
      <c r="L54" s="13" t="s">
        <v>165</v>
      </c>
      <c r="M54" s="220"/>
      <c r="N54" s="220"/>
      <c r="O54" s="220"/>
      <c r="P54" s="220"/>
      <c r="Q54" s="220"/>
      <c r="R54" s="112">
        <v>29.34</v>
      </c>
    </row>
    <row r="55" spans="1:21" ht="15.75" customHeight="1">
      <c r="A55" s="157">
        <v>18</v>
      </c>
      <c r="B55" s="7">
        <v>2</v>
      </c>
      <c r="C55" s="5">
        <v>-3.12</v>
      </c>
      <c r="D55" s="5"/>
      <c r="E55" s="5">
        <v>70.739999999999995</v>
      </c>
      <c r="F55" s="5"/>
      <c r="G55" s="5"/>
      <c r="H55" s="5">
        <v>135.66999999999999</v>
      </c>
      <c r="I55" s="5">
        <v>150.01</v>
      </c>
      <c r="K55" s="5"/>
      <c r="L55" s="5" t="s">
        <v>165</v>
      </c>
      <c r="R55" s="113">
        <v>28.34</v>
      </c>
    </row>
    <row r="56" spans="1:21" ht="15.75" customHeight="1">
      <c r="A56" s="157">
        <v>18</v>
      </c>
      <c r="B56" s="7">
        <v>3</v>
      </c>
      <c r="C56" s="5">
        <v>-3.25</v>
      </c>
      <c r="D56" s="5"/>
      <c r="E56" s="5">
        <v>78.56</v>
      </c>
      <c r="F56" s="5"/>
      <c r="G56" s="5"/>
      <c r="H56" s="5">
        <v>131.52000000000001</v>
      </c>
      <c r="I56" s="5">
        <v>148.33000000000001</v>
      </c>
      <c r="K56" s="5"/>
      <c r="L56" s="5" t="s">
        <v>165</v>
      </c>
      <c r="R56" s="113">
        <v>32.159999999999997</v>
      </c>
    </row>
    <row r="57" spans="1:21" ht="15.75" customHeight="1">
      <c r="A57" s="157">
        <v>18</v>
      </c>
      <c r="B57" s="7">
        <v>4</v>
      </c>
      <c r="C57" s="5">
        <v>-6.87</v>
      </c>
      <c r="D57" s="5"/>
      <c r="E57" s="5">
        <v>62.4</v>
      </c>
      <c r="F57" s="5"/>
      <c r="G57" s="5"/>
      <c r="H57" s="5">
        <v>134.72999999999999</v>
      </c>
      <c r="I57" s="5">
        <v>153.97999999999999</v>
      </c>
      <c r="K57" s="5"/>
      <c r="L57" s="5" t="s">
        <v>165</v>
      </c>
      <c r="R57" s="113">
        <v>24</v>
      </c>
    </row>
    <row r="58" spans="1:21" ht="15.75" customHeight="1">
      <c r="A58" s="157">
        <v>18</v>
      </c>
      <c r="B58" s="7">
        <v>5</v>
      </c>
      <c r="C58" s="5">
        <v>-4.8600000000000003</v>
      </c>
      <c r="D58" s="5"/>
      <c r="E58" s="5">
        <v>68.67</v>
      </c>
      <c r="F58" s="5"/>
      <c r="G58" s="5"/>
      <c r="H58" s="5">
        <v>137.88999999999999</v>
      </c>
      <c r="I58" s="5">
        <v>154.91999999999999</v>
      </c>
      <c r="K58" s="5"/>
      <c r="L58" s="5" t="s">
        <v>165</v>
      </c>
      <c r="R58" s="113">
        <v>31.51</v>
      </c>
    </row>
    <row r="59" spans="1:21" ht="15.75" customHeight="1">
      <c r="A59" s="157">
        <v>18</v>
      </c>
      <c r="B59" s="7">
        <v>6</v>
      </c>
      <c r="C59" s="5">
        <v>-7.39</v>
      </c>
      <c r="D59" s="5"/>
      <c r="E59" s="5">
        <v>81.489999999999995</v>
      </c>
      <c r="F59" s="5"/>
      <c r="G59" s="5"/>
      <c r="H59" s="5">
        <v>130.21</v>
      </c>
      <c r="I59" s="5">
        <v>139.94</v>
      </c>
      <c r="K59" s="5"/>
      <c r="L59" s="5" t="s">
        <v>165</v>
      </c>
      <c r="R59" s="113">
        <v>8.73</v>
      </c>
    </row>
    <row r="60" spans="1:21" ht="15.75" customHeight="1">
      <c r="A60" s="157">
        <v>18</v>
      </c>
      <c r="B60" s="7">
        <v>7</v>
      </c>
      <c r="C60" s="5">
        <v>-6.25</v>
      </c>
      <c r="D60" s="5"/>
      <c r="E60" s="5">
        <v>74.760000000000005</v>
      </c>
      <c r="F60" s="5"/>
      <c r="G60" s="5"/>
      <c r="H60" s="5">
        <v>131.4</v>
      </c>
      <c r="I60" s="5">
        <v>144.21</v>
      </c>
      <c r="K60" s="5"/>
      <c r="L60" s="5" t="s">
        <v>165</v>
      </c>
      <c r="R60" s="113">
        <v>28.59</v>
      </c>
    </row>
    <row r="61" spans="1:21" ht="15.75" customHeight="1">
      <c r="A61" s="157">
        <v>18</v>
      </c>
      <c r="B61" s="7">
        <v>8</v>
      </c>
      <c r="C61" s="5">
        <v>-4.3499999999999996</v>
      </c>
      <c r="D61" s="5"/>
      <c r="E61" s="5">
        <v>70.650000000000006</v>
      </c>
      <c r="F61" s="5"/>
      <c r="G61" s="5"/>
      <c r="H61" s="5">
        <v>135.91999999999999</v>
      </c>
      <c r="I61" s="5">
        <v>149.71</v>
      </c>
      <c r="K61" s="5"/>
      <c r="L61" s="5" t="s">
        <v>165</v>
      </c>
      <c r="R61" s="113">
        <v>23.16</v>
      </c>
    </row>
    <row r="62" spans="1:21" ht="15.75" customHeight="1">
      <c r="A62" s="157">
        <v>18</v>
      </c>
      <c r="B62" s="7">
        <v>9</v>
      </c>
      <c r="C62" s="5">
        <v>-1.7</v>
      </c>
      <c r="D62" s="5"/>
      <c r="E62" s="5">
        <v>69.900000000000006</v>
      </c>
      <c r="F62" s="5"/>
      <c r="G62" s="5"/>
      <c r="H62" s="5">
        <v>140.09</v>
      </c>
      <c r="I62" s="5">
        <v>153.41999999999999</v>
      </c>
      <c r="K62" s="5"/>
      <c r="L62" s="5" t="s">
        <v>165</v>
      </c>
      <c r="R62" s="113">
        <v>16.350000000000001</v>
      </c>
    </row>
    <row r="63" spans="1:21" ht="15.75" customHeight="1">
      <c r="A63" s="157">
        <v>18</v>
      </c>
      <c r="B63" s="7">
        <v>10</v>
      </c>
      <c r="C63" s="5">
        <v>-6.51</v>
      </c>
      <c r="D63" s="5"/>
      <c r="E63" s="5">
        <v>62.47</v>
      </c>
      <c r="F63" s="5"/>
      <c r="G63" s="5"/>
      <c r="H63" s="5">
        <v>135.32</v>
      </c>
      <c r="I63" s="5">
        <v>154.44</v>
      </c>
      <c r="K63" s="5"/>
      <c r="L63" s="5" t="s">
        <v>165</v>
      </c>
      <c r="R63" s="113">
        <v>25.24</v>
      </c>
    </row>
    <row r="64" spans="1:21" ht="15.75" customHeight="1">
      <c r="A64" s="157">
        <v>18</v>
      </c>
      <c r="B64" s="7">
        <v>11</v>
      </c>
      <c r="C64" s="5">
        <v>-7.22</v>
      </c>
      <c r="D64" s="5"/>
      <c r="E64" s="5">
        <v>62.33</v>
      </c>
      <c r="F64" s="5"/>
      <c r="G64" s="5"/>
      <c r="H64" s="5">
        <v>134.13999999999999</v>
      </c>
      <c r="I64" s="5">
        <v>153.51</v>
      </c>
      <c r="K64" s="5"/>
      <c r="L64" s="5" t="s">
        <v>165</v>
      </c>
      <c r="R64" s="113">
        <v>22.76</v>
      </c>
    </row>
    <row r="65" spans="1:18" ht="15.75" customHeight="1">
      <c r="A65" s="157">
        <v>18</v>
      </c>
      <c r="B65" s="7">
        <v>12</v>
      </c>
      <c r="C65" s="5">
        <v>-5.27</v>
      </c>
      <c r="D65" s="5"/>
      <c r="E65" s="5">
        <v>76.790000000000006</v>
      </c>
      <c r="F65" s="4"/>
      <c r="G65" s="4"/>
      <c r="H65" s="4">
        <v>137.02000000000001</v>
      </c>
      <c r="I65" s="5">
        <v>155.51</v>
      </c>
      <c r="K65" s="5"/>
      <c r="L65" s="5" t="s">
        <v>165</v>
      </c>
      <c r="R65" s="113">
        <v>28.31</v>
      </c>
    </row>
    <row r="66" spans="1:18" ht="15.75" customHeight="1">
      <c r="A66" s="157">
        <v>18</v>
      </c>
      <c r="B66" s="7">
        <v>13</v>
      </c>
      <c r="C66" s="5">
        <v>-4.55</v>
      </c>
      <c r="D66" s="5"/>
      <c r="E66" s="5">
        <v>80.69</v>
      </c>
      <c r="F66" s="5"/>
      <c r="G66" s="5"/>
      <c r="H66" s="5">
        <v>135.74</v>
      </c>
      <c r="I66" s="5">
        <v>145.87</v>
      </c>
      <c r="K66" s="5"/>
      <c r="L66" s="5" t="s">
        <v>165</v>
      </c>
      <c r="R66" s="113">
        <v>19.13</v>
      </c>
    </row>
    <row r="67" spans="1:18" ht="15.75" customHeight="1">
      <c r="A67" s="156">
        <v>18</v>
      </c>
      <c r="B67" s="151">
        <v>14</v>
      </c>
      <c r="C67" s="146">
        <v>-2.93</v>
      </c>
      <c r="D67" s="146"/>
      <c r="E67" s="146">
        <v>73.95</v>
      </c>
      <c r="F67" s="146"/>
      <c r="G67" s="146"/>
      <c r="H67" s="146">
        <v>135.88999999999999</v>
      </c>
      <c r="I67" s="146">
        <v>151.43</v>
      </c>
      <c r="J67" s="204"/>
      <c r="K67" s="146"/>
      <c r="L67" s="146" t="s">
        <v>165</v>
      </c>
      <c r="M67" s="204"/>
      <c r="N67" s="204"/>
      <c r="O67" s="204"/>
      <c r="P67" s="204"/>
      <c r="Q67" s="204"/>
      <c r="R67" s="114">
        <v>26.2</v>
      </c>
    </row>
    <row r="68" spans="1:18" ht="15.75" customHeight="1">
      <c r="A68" s="93">
        <v>19</v>
      </c>
      <c r="B68" s="94">
        <v>1</v>
      </c>
      <c r="C68" s="115"/>
      <c r="D68" s="115"/>
      <c r="E68" s="115"/>
      <c r="F68" s="115"/>
      <c r="G68" s="115"/>
      <c r="H68" s="115">
        <v>179</v>
      </c>
      <c r="I68" s="115"/>
      <c r="J68" s="115"/>
      <c r="K68" s="115"/>
      <c r="L68" s="115" t="s">
        <v>165</v>
      </c>
      <c r="M68" s="115">
        <v>97</v>
      </c>
      <c r="N68" s="115"/>
      <c r="O68" s="115"/>
      <c r="P68" s="115"/>
      <c r="Q68" s="115" t="s">
        <v>229</v>
      </c>
      <c r="R68" s="116">
        <v>67</v>
      </c>
    </row>
    <row r="69" spans="1:18" ht="15.75" customHeight="1">
      <c r="A69" s="205">
        <v>20</v>
      </c>
      <c r="B69" s="168">
        <v>1</v>
      </c>
      <c r="C69" s="169"/>
      <c r="D69" s="169"/>
      <c r="E69" s="169">
        <v>96</v>
      </c>
      <c r="F69" s="169"/>
      <c r="G69" s="169"/>
      <c r="H69" s="169">
        <v>155</v>
      </c>
      <c r="I69" s="169">
        <v>155</v>
      </c>
      <c r="J69" s="169">
        <v>236</v>
      </c>
      <c r="K69" s="169"/>
      <c r="L69" s="169" t="s">
        <v>165</v>
      </c>
      <c r="M69" s="169"/>
      <c r="N69" s="169"/>
      <c r="O69" s="169"/>
      <c r="P69" s="169"/>
      <c r="Q69" s="169"/>
      <c r="R69" s="97">
        <v>48</v>
      </c>
    </row>
    <row r="70" spans="1:18" ht="15.75" customHeight="1">
      <c r="A70" s="98">
        <v>20</v>
      </c>
      <c r="B70" s="20">
        <v>2</v>
      </c>
      <c r="C70" s="17"/>
      <c r="D70" s="17"/>
      <c r="E70" s="17">
        <v>97</v>
      </c>
      <c r="F70" s="17"/>
      <c r="G70" s="17"/>
      <c r="H70" s="17">
        <v>157</v>
      </c>
      <c r="I70" s="17">
        <v>157</v>
      </c>
      <c r="J70" s="17"/>
      <c r="K70" s="17"/>
      <c r="L70" s="17" t="s">
        <v>165</v>
      </c>
      <c r="M70" s="17"/>
      <c r="N70" s="17"/>
      <c r="O70" s="17"/>
      <c r="P70" s="17"/>
      <c r="Q70" s="17"/>
      <c r="R70" s="99">
        <v>46</v>
      </c>
    </row>
    <row r="71" spans="1:18" ht="15.75" customHeight="1">
      <c r="A71" s="98">
        <v>20</v>
      </c>
      <c r="B71" s="20">
        <v>3</v>
      </c>
      <c r="C71" s="17"/>
      <c r="D71" s="17"/>
      <c r="E71" s="17">
        <v>98</v>
      </c>
      <c r="F71" s="17"/>
      <c r="G71" s="17"/>
      <c r="H71" s="17">
        <v>157</v>
      </c>
      <c r="I71" s="17">
        <v>157</v>
      </c>
      <c r="J71" s="17">
        <v>253</v>
      </c>
      <c r="K71" s="17"/>
      <c r="L71" s="17" t="s">
        <v>165</v>
      </c>
      <c r="M71" s="17"/>
      <c r="N71" s="17"/>
      <c r="O71" s="17"/>
      <c r="P71" s="17"/>
      <c r="Q71" s="17"/>
      <c r="R71" s="99">
        <v>46</v>
      </c>
    </row>
    <row r="72" spans="1:18" ht="15.75" customHeight="1">
      <c r="A72" s="98">
        <v>20</v>
      </c>
      <c r="B72" s="20">
        <v>4</v>
      </c>
      <c r="C72" s="17"/>
      <c r="D72" s="17"/>
      <c r="E72" s="22">
        <v>92</v>
      </c>
      <c r="F72" s="22">
        <v>101</v>
      </c>
      <c r="G72" s="17"/>
      <c r="H72" s="17">
        <v>157</v>
      </c>
      <c r="I72" s="17">
        <v>157</v>
      </c>
      <c r="J72" s="17">
        <v>257</v>
      </c>
      <c r="K72" s="17"/>
      <c r="L72" s="17" t="s">
        <v>165</v>
      </c>
      <c r="M72" s="17"/>
      <c r="N72" s="17"/>
      <c r="O72" s="17"/>
      <c r="P72" s="17"/>
      <c r="Q72" s="17"/>
      <c r="R72" s="99">
        <v>46</v>
      </c>
    </row>
    <row r="73" spans="1:18" ht="15.75" customHeight="1">
      <c r="A73" s="98">
        <v>20</v>
      </c>
      <c r="B73" s="20">
        <v>5</v>
      </c>
      <c r="C73" s="17"/>
      <c r="D73" s="17"/>
      <c r="E73" s="22">
        <v>94</v>
      </c>
      <c r="F73" s="22">
        <v>102</v>
      </c>
      <c r="G73" s="17"/>
      <c r="H73" s="17">
        <v>157</v>
      </c>
      <c r="I73" s="17">
        <v>157</v>
      </c>
      <c r="J73" s="17">
        <v>262</v>
      </c>
      <c r="K73" s="17"/>
      <c r="L73" s="17" t="s">
        <v>165</v>
      </c>
      <c r="M73" s="17"/>
      <c r="N73" s="17"/>
      <c r="O73" s="17"/>
      <c r="P73" s="17"/>
      <c r="Q73" s="17"/>
      <c r="R73" s="99">
        <v>47</v>
      </c>
    </row>
    <row r="74" spans="1:18" ht="15.75" customHeight="1">
      <c r="A74" s="206">
        <v>20</v>
      </c>
      <c r="B74" s="164">
        <v>6</v>
      </c>
      <c r="C74" s="165"/>
      <c r="D74" s="165"/>
      <c r="E74" s="165">
        <v>102</v>
      </c>
      <c r="F74" s="165"/>
      <c r="G74" s="165"/>
      <c r="H74" s="165">
        <v>157</v>
      </c>
      <c r="I74" s="165">
        <v>157</v>
      </c>
      <c r="J74" s="165">
        <v>265</v>
      </c>
      <c r="K74" s="165"/>
      <c r="L74" s="165" t="s">
        <v>165</v>
      </c>
      <c r="M74" s="165"/>
      <c r="N74" s="165"/>
      <c r="O74" s="165"/>
      <c r="P74" s="165"/>
      <c r="Q74" s="165"/>
      <c r="R74" s="100">
        <v>47</v>
      </c>
    </row>
    <row r="75" spans="1:18" ht="15.75" customHeight="1">
      <c r="A75" s="98">
        <v>21</v>
      </c>
      <c r="B75" s="20">
        <v>1</v>
      </c>
      <c r="C75" s="17"/>
      <c r="D75" s="17"/>
      <c r="E75" s="17">
        <v>118</v>
      </c>
      <c r="F75" s="17"/>
      <c r="G75" s="17"/>
      <c r="H75" s="17">
        <v>165</v>
      </c>
      <c r="I75" s="17"/>
      <c r="J75" s="17">
        <v>258</v>
      </c>
      <c r="K75" s="17"/>
      <c r="L75" s="17" t="s">
        <v>165</v>
      </c>
      <c r="M75" s="17"/>
      <c r="N75" s="17"/>
      <c r="O75" s="17"/>
      <c r="P75" s="17"/>
      <c r="Q75" s="17"/>
      <c r="R75" s="99">
        <v>68</v>
      </c>
    </row>
    <row r="76" spans="1:18" ht="15.75" customHeight="1">
      <c r="A76" s="98">
        <v>21</v>
      </c>
      <c r="B76" s="20">
        <v>2</v>
      </c>
      <c r="C76" s="17"/>
      <c r="D76" s="17"/>
      <c r="E76" s="17">
        <v>119</v>
      </c>
      <c r="F76" s="17"/>
      <c r="G76" s="17"/>
      <c r="H76" s="17">
        <v>165</v>
      </c>
      <c r="I76" s="17"/>
      <c r="J76" s="17">
        <v>261</v>
      </c>
      <c r="K76" s="17"/>
      <c r="L76" s="17" t="s">
        <v>165</v>
      </c>
      <c r="M76" s="17"/>
      <c r="N76" s="17"/>
      <c r="O76" s="17"/>
      <c r="P76" s="17"/>
      <c r="Q76" s="17"/>
      <c r="R76" s="99">
        <v>71</v>
      </c>
    </row>
    <row r="77" spans="1:18" ht="15.75" customHeight="1">
      <c r="A77" s="98">
        <v>21</v>
      </c>
      <c r="B77" s="20">
        <v>3</v>
      </c>
      <c r="C77" s="17"/>
      <c r="D77" s="17"/>
      <c r="E77" s="17">
        <v>119</v>
      </c>
      <c r="F77" s="17"/>
      <c r="G77" s="17"/>
      <c r="H77" s="17">
        <v>161</v>
      </c>
      <c r="I77" s="17"/>
      <c r="J77" s="17">
        <v>267</v>
      </c>
      <c r="K77" s="17"/>
      <c r="L77" s="17" t="s">
        <v>165</v>
      </c>
      <c r="M77" s="17"/>
      <c r="N77" s="17"/>
      <c r="O77" s="17"/>
      <c r="P77" s="17"/>
      <c r="Q77" s="17"/>
      <c r="R77" s="99">
        <v>69</v>
      </c>
    </row>
    <row r="78" spans="1:18" ht="15.75" customHeight="1">
      <c r="A78" s="98">
        <v>21</v>
      </c>
      <c r="B78" s="20">
        <v>4</v>
      </c>
      <c r="C78" s="17"/>
      <c r="D78" s="17"/>
      <c r="E78" s="17">
        <v>119</v>
      </c>
      <c r="F78" s="17"/>
      <c r="G78" s="17"/>
      <c r="H78" s="17">
        <v>165</v>
      </c>
      <c r="I78" s="17"/>
      <c r="J78" s="17">
        <v>259</v>
      </c>
      <c r="K78" s="17"/>
      <c r="L78" s="17" t="s">
        <v>165</v>
      </c>
      <c r="M78" s="17"/>
      <c r="N78" s="17"/>
      <c r="O78" s="17"/>
      <c r="P78" s="17"/>
      <c r="Q78" s="17"/>
      <c r="R78" s="99">
        <v>67</v>
      </c>
    </row>
    <row r="79" spans="1:18" ht="15.75" customHeight="1" thickBot="1">
      <c r="A79" s="101">
        <v>22</v>
      </c>
      <c r="B79" s="159">
        <v>1</v>
      </c>
      <c r="C79" s="160">
        <v>4</v>
      </c>
      <c r="D79" s="160"/>
      <c r="E79" s="160"/>
      <c r="F79" s="160"/>
      <c r="G79" s="160"/>
      <c r="H79" s="160">
        <v>177</v>
      </c>
      <c r="I79" s="160"/>
      <c r="J79" s="160"/>
      <c r="K79" s="160"/>
      <c r="L79" s="160" t="s">
        <v>165</v>
      </c>
      <c r="M79" s="160"/>
      <c r="N79" s="160"/>
      <c r="O79" s="160"/>
      <c r="P79" s="160"/>
      <c r="Q79" s="160"/>
      <c r="R79" s="102">
        <v>60</v>
      </c>
    </row>
    <row r="80" spans="1:18" ht="15.75" customHeight="1">
      <c r="A80" s="280">
        <v>23</v>
      </c>
      <c r="B80" s="20">
        <v>1</v>
      </c>
      <c r="C80" s="17">
        <v>4</v>
      </c>
      <c r="D80" s="17"/>
      <c r="E80" s="17"/>
      <c r="F80" s="17"/>
      <c r="G80" s="17"/>
      <c r="H80" s="17">
        <v>179</v>
      </c>
      <c r="I80" s="17"/>
      <c r="J80" s="17"/>
      <c r="K80" s="17"/>
      <c r="L80" s="17" t="s">
        <v>165</v>
      </c>
      <c r="M80" s="17"/>
      <c r="N80" s="17"/>
      <c r="O80" s="17"/>
      <c r="P80" s="17"/>
      <c r="Q80" s="17"/>
      <c r="R80" s="99"/>
    </row>
    <row r="81" spans="1:18" ht="15.75" customHeight="1">
      <c r="A81" s="280">
        <v>23</v>
      </c>
      <c r="B81" s="20">
        <v>2</v>
      </c>
      <c r="C81" s="17"/>
      <c r="D81" s="17"/>
      <c r="E81" s="17"/>
      <c r="F81" s="17"/>
      <c r="G81" s="17"/>
      <c r="H81" s="17">
        <v>170</v>
      </c>
      <c r="I81" s="17"/>
      <c r="J81" s="17"/>
      <c r="K81" s="17"/>
      <c r="L81" s="22" t="s">
        <v>165</v>
      </c>
      <c r="M81" s="17"/>
      <c r="N81" s="17"/>
      <c r="O81" s="17"/>
      <c r="P81" s="17"/>
      <c r="Q81" s="17"/>
      <c r="R81" s="99"/>
    </row>
    <row r="82" spans="1:18" ht="15.75" customHeight="1">
      <c r="A82" s="280">
        <v>23</v>
      </c>
      <c r="B82" s="20">
        <v>3</v>
      </c>
      <c r="C82" s="17"/>
      <c r="D82" s="17"/>
      <c r="E82" s="17"/>
      <c r="F82" s="17"/>
      <c r="G82" s="17"/>
      <c r="H82" s="17">
        <v>162</v>
      </c>
      <c r="I82" s="17"/>
      <c r="J82" s="17"/>
      <c r="K82" s="17"/>
      <c r="L82" s="22" t="s">
        <v>165</v>
      </c>
      <c r="M82" s="17"/>
      <c r="N82" s="17"/>
      <c r="O82" s="17"/>
      <c r="P82" s="17"/>
      <c r="Q82" s="17"/>
      <c r="R82" s="99"/>
    </row>
    <row r="83" spans="1:18" ht="15.75" customHeight="1">
      <c r="A83" s="280">
        <v>23</v>
      </c>
      <c r="B83" s="20">
        <v>4</v>
      </c>
      <c r="C83" s="17"/>
      <c r="D83" s="17"/>
      <c r="E83" s="17"/>
      <c r="F83" s="17"/>
      <c r="G83" s="17"/>
      <c r="H83" s="17">
        <v>150</v>
      </c>
      <c r="I83" s="17"/>
      <c r="J83" s="17"/>
      <c r="K83" s="17"/>
      <c r="L83" s="22" t="s">
        <v>165</v>
      </c>
      <c r="M83" s="17"/>
      <c r="N83" s="17"/>
      <c r="O83" s="17"/>
      <c r="P83" s="17"/>
      <c r="Q83" s="17"/>
      <c r="R83" s="99"/>
    </row>
    <row r="84" spans="1:18" ht="15.75" customHeight="1">
      <c r="A84" s="280">
        <v>23</v>
      </c>
      <c r="B84" s="20">
        <v>5</v>
      </c>
      <c r="C84" s="17"/>
      <c r="D84" s="17"/>
      <c r="E84" s="17"/>
      <c r="F84" s="17"/>
      <c r="G84" s="17"/>
      <c r="H84" s="17">
        <v>145</v>
      </c>
      <c r="I84" s="17"/>
      <c r="J84" s="17"/>
      <c r="K84" s="17"/>
      <c r="L84" s="22" t="s">
        <v>165</v>
      </c>
      <c r="M84" s="17"/>
      <c r="N84" s="17"/>
      <c r="O84" s="17"/>
      <c r="P84" s="17"/>
      <c r="Q84" s="17"/>
      <c r="R84" s="99"/>
    </row>
    <row r="85" spans="1:18" ht="15.75" customHeight="1" thickBot="1">
      <c r="A85" s="280">
        <v>23</v>
      </c>
      <c r="B85" s="20">
        <v>6</v>
      </c>
      <c r="C85" s="17"/>
      <c r="D85" s="17"/>
      <c r="E85" s="17"/>
      <c r="F85" s="17"/>
      <c r="G85" s="17"/>
      <c r="H85" s="17">
        <v>137</v>
      </c>
      <c r="I85" s="17"/>
      <c r="J85" s="17"/>
      <c r="K85" s="17"/>
      <c r="L85" s="22" t="s">
        <v>165</v>
      </c>
      <c r="M85" s="17"/>
      <c r="N85" s="17"/>
      <c r="O85" s="17"/>
      <c r="P85" s="17"/>
      <c r="Q85" s="17"/>
      <c r="R85" s="99"/>
    </row>
    <row r="86" spans="1:18" ht="15.75" customHeight="1">
      <c r="A86" s="281">
        <v>24</v>
      </c>
      <c r="B86" s="168">
        <v>1</v>
      </c>
      <c r="C86" s="169">
        <v>9</v>
      </c>
      <c r="D86" s="169"/>
      <c r="E86" s="169"/>
      <c r="F86" s="169"/>
      <c r="G86" s="169"/>
      <c r="H86" s="169">
        <v>175</v>
      </c>
      <c r="I86" s="169"/>
      <c r="J86" s="169"/>
      <c r="K86" s="169"/>
      <c r="L86" s="171" t="s">
        <v>165</v>
      </c>
      <c r="M86" s="169"/>
      <c r="N86" s="169"/>
      <c r="O86" s="169"/>
      <c r="P86" s="169"/>
      <c r="Q86" s="169"/>
      <c r="R86" s="97"/>
    </row>
    <row r="87" spans="1:18" ht="15.75" customHeight="1">
      <c r="A87" s="280">
        <v>24</v>
      </c>
      <c r="B87" s="20">
        <v>2</v>
      </c>
      <c r="C87" s="17">
        <v>2</v>
      </c>
      <c r="D87" s="17"/>
      <c r="E87" s="17"/>
      <c r="F87" s="17"/>
      <c r="G87" s="17"/>
      <c r="H87" s="17">
        <v>157</v>
      </c>
      <c r="I87" s="17"/>
      <c r="J87" s="17"/>
      <c r="K87" s="17"/>
      <c r="L87" s="22" t="s">
        <v>165</v>
      </c>
      <c r="M87" s="17"/>
      <c r="N87" s="17"/>
      <c r="O87" s="17"/>
      <c r="P87" s="17"/>
      <c r="Q87" s="17"/>
      <c r="R87" s="99"/>
    </row>
    <row r="88" spans="1:18" ht="15.75" customHeight="1">
      <c r="A88" s="280">
        <v>24</v>
      </c>
      <c r="B88" s="20">
        <v>3</v>
      </c>
      <c r="C88" s="17">
        <v>-5</v>
      </c>
      <c r="D88" s="17"/>
      <c r="E88" s="17"/>
      <c r="F88" s="3"/>
      <c r="G88" s="3"/>
      <c r="H88" s="3">
        <v>114</v>
      </c>
      <c r="I88" s="17"/>
      <c r="J88" s="17"/>
      <c r="K88" s="17"/>
      <c r="L88" s="22" t="s">
        <v>165</v>
      </c>
      <c r="M88" s="17"/>
      <c r="N88" s="17"/>
      <c r="O88" s="17"/>
      <c r="P88" s="17"/>
      <c r="Q88" s="17"/>
      <c r="R88" s="99"/>
    </row>
    <row r="89" spans="1:18" ht="15.75" customHeight="1">
      <c r="A89" s="280">
        <v>24</v>
      </c>
      <c r="B89" s="20">
        <v>4</v>
      </c>
      <c r="C89" s="17">
        <v>-8</v>
      </c>
      <c r="D89" s="17"/>
      <c r="E89" s="17"/>
      <c r="F89" s="17"/>
      <c r="G89" s="17"/>
      <c r="H89" s="17">
        <v>102</v>
      </c>
      <c r="I89" s="17"/>
      <c r="J89" s="17"/>
      <c r="K89" s="17"/>
      <c r="L89" s="22" t="s">
        <v>165</v>
      </c>
      <c r="M89" s="17"/>
      <c r="N89" s="17"/>
      <c r="O89" s="17"/>
      <c r="P89" s="17"/>
      <c r="Q89" s="17"/>
      <c r="R89" s="99"/>
    </row>
    <row r="90" spans="1:18" ht="15.75" customHeight="1" thickBot="1">
      <c r="A90" s="282">
        <v>24</v>
      </c>
      <c r="B90" s="164">
        <v>5</v>
      </c>
      <c r="C90" s="165">
        <v>-9</v>
      </c>
      <c r="D90" s="165"/>
      <c r="E90" s="165"/>
      <c r="F90" s="165"/>
      <c r="G90" s="165"/>
      <c r="H90" s="165">
        <v>97</v>
      </c>
      <c r="I90" s="165"/>
      <c r="J90" s="165"/>
      <c r="K90" s="165"/>
      <c r="L90" s="166" t="s">
        <v>165</v>
      </c>
      <c r="M90" s="165"/>
      <c r="N90" s="165"/>
      <c r="O90" s="165"/>
      <c r="P90" s="165"/>
      <c r="Q90" s="165"/>
      <c r="R90" s="100"/>
    </row>
    <row r="91" spans="1:18" ht="15.75" customHeight="1">
      <c r="A91" s="283">
        <v>25</v>
      </c>
      <c r="B91" s="286">
        <v>1</v>
      </c>
      <c r="C91" s="17"/>
      <c r="D91" s="17"/>
      <c r="E91" s="17"/>
      <c r="F91" s="17"/>
      <c r="G91" s="17"/>
      <c r="H91" s="17"/>
      <c r="I91" s="17"/>
      <c r="J91" s="17"/>
      <c r="K91" s="17"/>
      <c r="L91" s="22" t="s">
        <v>165</v>
      </c>
      <c r="M91" s="17"/>
      <c r="N91" s="17"/>
      <c r="O91" s="17"/>
      <c r="P91" s="17"/>
      <c r="Q91" s="17"/>
      <c r="R91" s="99"/>
    </row>
    <row r="92" spans="1:18" ht="15.75" customHeight="1">
      <c r="A92" s="283">
        <v>25</v>
      </c>
      <c r="B92" s="287">
        <v>2</v>
      </c>
      <c r="C92" s="17"/>
      <c r="D92" s="17"/>
      <c r="E92" s="17"/>
      <c r="F92" s="17"/>
      <c r="G92" s="17"/>
      <c r="H92" s="17"/>
      <c r="I92" s="17"/>
      <c r="J92" s="17"/>
      <c r="K92" s="17"/>
      <c r="L92" s="22" t="s">
        <v>165</v>
      </c>
      <c r="M92" s="17"/>
      <c r="N92" s="17"/>
      <c r="O92" s="17"/>
      <c r="P92" s="17"/>
      <c r="Q92" s="17"/>
      <c r="R92" s="99"/>
    </row>
    <row r="93" spans="1:18" ht="15.75" customHeight="1">
      <c r="A93" s="283">
        <v>25</v>
      </c>
      <c r="B93" s="287">
        <v>3</v>
      </c>
      <c r="C93" s="17"/>
      <c r="D93" s="17"/>
      <c r="E93" s="17"/>
      <c r="F93" s="17"/>
      <c r="G93" s="17"/>
      <c r="H93" s="17"/>
      <c r="I93" s="17"/>
      <c r="J93" s="17"/>
      <c r="K93" s="17"/>
      <c r="L93" s="22" t="s">
        <v>165</v>
      </c>
      <c r="M93" s="17"/>
      <c r="N93" s="17"/>
      <c r="O93" s="17"/>
      <c r="P93" s="17"/>
      <c r="Q93" s="17"/>
      <c r="R93" s="99"/>
    </row>
    <row r="94" spans="1:18" ht="15.75" customHeight="1" thickBot="1">
      <c r="A94" s="283">
        <v>25</v>
      </c>
      <c r="B94" s="287">
        <v>4</v>
      </c>
      <c r="C94" s="17"/>
      <c r="D94" s="17"/>
      <c r="E94" s="17"/>
      <c r="F94" s="17"/>
      <c r="G94" s="17"/>
      <c r="H94" s="17"/>
      <c r="I94" s="17"/>
      <c r="J94" s="17"/>
      <c r="K94" s="17"/>
      <c r="L94" s="22" t="s">
        <v>165</v>
      </c>
      <c r="M94" s="17"/>
      <c r="N94" s="17"/>
      <c r="O94" s="17"/>
      <c r="P94" s="17"/>
      <c r="Q94" s="17"/>
      <c r="R94" s="99"/>
    </row>
    <row r="95" spans="1:18" ht="15.75" customHeight="1">
      <c r="A95" s="284">
        <v>26</v>
      </c>
      <c r="B95" s="288">
        <v>1</v>
      </c>
      <c r="C95" s="169"/>
      <c r="D95" s="169"/>
      <c r="E95" s="169"/>
      <c r="F95" s="169"/>
      <c r="G95" s="169"/>
      <c r="H95" s="169"/>
      <c r="I95" s="169"/>
      <c r="J95" s="169"/>
      <c r="K95" s="169"/>
      <c r="L95" s="171" t="s">
        <v>165</v>
      </c>
      <c r="M95" s="169"/>
      <c r="N95" s="169"/>
      <c r="O95" s="169"/>
      <c r="P95" s="169"/>
      <c r="Q95" s="169"/>
      <c r="R95" s="97"/>
    </row>
    <row r="96" spans="1:18" ht="15.75" customHeight="1">
      <c r="A96" s="283">
        <v>26</v>
      </c>
      <c r="B96" s="289">
        <v>2</v>
      </c>
      <c r="C96" s="17"/>
      <c r="D96" s="17"/>
      <c r="E96" s="17"/>
      <c r="F96" s="17"/>
      <c r="G96" s="17"/>
      <c r="H96" s="17"/>
      <c r="I96" s="17"/>
      <c r="J96" s="17"/>
      <c r="K96" s="17"/>
      <c r="L96" s="22" t="s">
        <v>165</v>
      </c>
      <c r="M96" s="17"/>
      <c r="N96" s="17"/>
      <c r="O96" s="17"/>
      <c r="P96" s="17"/>
      <c r="Q96" s="17"/>
      <c r="R96" s="99"/>
    </row>
    <row r="97" spans="1:39" ht="15.75" customHeight="1" thickBot="1">
      <c r="A97" s="285">
        <v>26</v>
      </c>
      <c r="B97" s="290">
        <v>3</v>
      </c>
      <c r="C97" s="165"/>
      <c r="D97" s="165"/>
      <c r="E97" s="165"/>
      <c r="F97" s="165"/>
      <c r="G97" s="165"/>
      <c r="H97" s="165"/>
      <c r="I97" s="165"/>
      <c r="J97" s="165"/>
      <c r="K97" s="165"/>
      <c r="L97" s="166" t="s">
        <v>165</v>
      </c>
      <c r="M97" s="165"/>
      <c r="N97" s="165"/>
      <c r="O97" s="165"/>
      <c r="P97" s="165"/>
      <c r="Q97" s="165"/>
      <c r="R97" s="100"/>
    </row>
    <row r="98" spans="1:39" ht="15.75" customHeight="1">
      <c r="A98" s="283">
        <v>27</v>
      </c>
      <c r="B98" s="289">
        <v>1</v>
      </c>
      <c r="C98" s="17"/>
      <c r="D98" s="17"/>
      <c r="E98" s="17"/>
      <c r="F98" s="17"/>
      <c r="G98" s="17"/>
      <c r="H98" s="17"/>
      <c r="I98" s="17"/>
      <c r="J98" s="17"/>
      <c r="K98" s="17"/>
      <c r="L98" s="22" t="s">
        <v>165</v>
      </c>
      <c r="M98" s="17"/>
      <c r="N98" s="17"/>
      <c r="O98" s="17"/>
      <c r="P98" s="17"/>
      <c r="Q98" s="17"/>
      <c r="R98" s="99"/>
    </row>
    <row r="99" spans="1:39" ht="15.75" customHeight="1">
      <c r="A99" s="283">
        <v>27</v>
      </c>
      <c r="B99" s="289">
        <v>2</v>
      </c>
      <c r="C99" s="17"/>
      <c r="D99" s="17"/>
      <c r="E99" s="17"/>
      <c r="F99" s="17"/>
      <c r="G99" s="17"/>
      <c r="H99" s="17"/>
      <c r="I99" s="17"/>
      <c r="J99" s="17"/>
      <c r="K99" s="17"/>
      <c r="L99" s="22" t="s">
        <v>165</v>
      </c>
      <c r="M99" s="17"/>
      <c r="N99" s="17"/>
      <c r="O99" s="17"/>
      <c r="P99" s="17"/>
      <c r="Q99" s="17"/>
      <c r="R99" s="99"/>
    </row>
    <row r="100" spans="1:39" ht="15.75" customHeight="1" thickBot="1">
      <c r="A100" s="283">
        <v>27</v>
      </c>
      <c r="B100" s="289">
        <v>3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22" t="s">
        <v>165</v>
      </c>
      <c r="M100" s="17"/>
      <c r="N100" s="17"/>
      <c r="O100" s="17"/>
      <c r="P100" s="17"/>
      <c r="Q100" s="17"/>
      <c r="R100" s="99"/>
    </row>
    <row r="101" spans="1:39" ht="15.75" customHeight="1" thickBot="1">
      <c r="A101" s="284">
        <v>28</v>
      </c>
      <c r="B101" s="291">
        <v>1</v>
      </c>
      <c r="C101" s="169"/>
      <c r="D101" s="169"/>
      <c r="E101" s="169">
        <v>104</v>
      </c>
      <c r="F101" s="169"/>
      <c r="G101" s="169"/>
      <c r="H101" s="169" t="s">
        <v>231</v>
      </c>
      <c r="I101" s="169" t="s">
        <v>232</v>
      </c>
      <c r="J101" s="169"/>
      <c r="K101" s="169"/>
      <c r="L101" s="169" t="s">
        <v>165</v>
      </c>
      <c r="M101" s="169">
        <v>77</v>
      </c>
      <c r="N101" s="169"/>
      <c r="O101" s="171">
        <v>85.9</v>
      </c>
      <c r="P101" s="169"/>
      <c r="Q101" s="171" t="s">
        <v>229</v>
      </c>
      <c r="R101" s="97">
        <v>72.599999999999994</v>
      </c>
    </row>
    <row r="102" spans="1:39" ht="15.75" customHeight="1" thickBot="1">
      <c r="A102" s="173">
        <v>29</v>
      </c>
      <c r="B102" s="292">
        <v>1</v>
      </c>
      <c r="C102" s="177">
        <v>4</v>
      </c>
      <c r="D102" s="183"/>
      <c r="E102" s="183"/>
      <c r="F102" s="221"/>
      <c r="G102" s="221"/>
      <c r="H102" s="221">
        <v>178</v>
      </c>
      <c r="I102" s="183"/>
      <c r="J102" s="183"/>
      <c r="K102" s="183"/>
      <c r="L102" s="177" t="s">
        <v>165</v>
      </c>
      <c r="M102" s="177">
        <v>91</v>
      </c>
      <c r="N102" s="183"/>
      <c r="O102" s="183"/>
      <c r="P102" s="177"/>
      <c r="Q102" s="177" t="s">
        <v>229</v>
      </c>
      <c r="R102" s="34"/>
    </row>
    <row r="103" spans="1:39" ht="15.75" customHeight="1" thickBot="1">
      <c r="A103" s="32">
        <v>30</v>
      </c>
      <c r="B103" s="293">
        <v>1</v>
      </c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99">
        <v>55.9</v>
      </c>
    </row>
    <row r="104" spans="1:39" ht="15.75" customHeight="1">
      <c r="A104" s="173">
        <v>31</v>
      </c>
      <c r="B104" s="184">
        <v>1</v>
      </c>
      <c r="C104" s="174">
        <v>3</v>
      </c>
      <c r="D104" s="176"/>
      <c r="E104" s="176"/>
      <c r="F104" s="174"/>
      <c r="G104" s="174">
        <v>89</v>
      </c>
      <c r="H104" s="174">
        <v>172</v>
      </c>
      <c r="I104" s="176"/>
      <c r="J104" s="176"/>
      <c r="K104" s="176"/>
      <c r="L104" s="174" t="s">
        <v>165</v>
      </c>
      <c r="M104" s="174">
        <v>92</v>
      </c>
      <c r="N104" s="176"/>
      <c r="O104" s="176"/>
      <c r="P104" s="174"/>
      <c r="Q104" s="174" t="s">
        <v>229</v>
      </c>
      <c r="R104" s="197">
        <v>63</v>
      </c>
    </row>
    <row r="105" spans="1:39" ht="15.75" customHeight="1">
      <c r="A105" s="185">
        <v>31</v>
      </c>
      <c r="B105" s="186">
        <v>2</v>
      </c>
      <c r="C105" s="132">
        <v>7</v>
      </c>
      <c r="D105" s="35"/>
      <c r="E105" s="35"/>
      <c r="F105" s="132"/>
      <c r="G105" s="132">
        <v>132</v>
      </c>
      <c r="H105" s="132">
        <v>174</v>
      </c>
      <c r="I105" s="35"/>
      <c r="J105" s="35"/>
      <c r="K105" s="35"/>
      <c r="L105" s="22" t="s">
        <v>165</v>
      </c>
      <c r="M105" s="132">
        <v>90</v>
      </c>
      <c r="N105" s="35"/>
      <c r="O105" s="35"/>
      <c r="P105" s="35"/>
      <c r="Q105" s="35"/>
      <c r="R105" s="194">
        <v>61</v>
      </c>
    </row>
    <row r="106" spans="1:39" ht="15.75" customHeight="1">
      <c r="A106" s="185">
        <v>31</v>
      </c>
      <c r="B106" s="186">
        <v>3</v>
      </c>
      <c r="C106" s="132">
        <v>9</v>
      </c>
      <c r="D106" s="35"/>
      <c r="E106" s="35"/>
      <c r="F106" s="132"/>
      <c r="G106" s="132">
        <v>121</v>
      </c>
      <c r="H106" s="132">
        <v>173</v>
      </c>
      <c r="I106" s="35"/>
      <c r="J106" s="35"/>
      <c r="K106" s="35"/>
      <c r="L106" s="22" t="s">
        <v>165</v>
      </c>
      <c r="M106" s="132">
        <v>85</v>
      </c>
      <c r="N106" s="35"/>
      <c r="O106" s="35"/>
      <c r="P106" s="35"/>
      <c r="Q106" s="35"/>
      <c r="R106" s="194">
        <v>58</v>
      </c>
    </row>
    <row r="107" spans="1:39" ht="15.75" customHeight="1">
      <c r="A107" s="185">
        <v>31</v>
      </c>
      <c r="B107" s="186">
        <v>4</v>
      </c>
      <c r="C107" s="132">
        <v>15</v>
      </c>
      <c r="D107" s="35"/>
      <c r="E107" s="35"/>
      <c r="F107" s="132"/>
      <c r="G107" s="132">
        <v>98</v>
      </c>
      <c r="H107" s="132">
        <v>170</v>
      </c>
      <c r="I107" s="35"/>
      <c r="J107" s="35"/>
      <c r="K107" s="35"/>
      <c r="L107" s="22" t="s">
        <v>165</v>
      </c>
      <c r="M107" s="132">
        <v>78</v>
      </c>
      <c r="N107" s="35"/>
      <c r="O107" s="35"/>
      <c r="P107" s="35"/>
      <c r="Q107" s="35"/>
      <c r="R107" s="194">
        <v>53</v>
      </c>
    </row>
    <row r="108" spans="1:39" ht="15.75" customHeight="1">
      <c r="A108" s="185">
        <v>31</v>
      </c>
      <c r="B108" s="186">
        <v>5</v>
      </c>
      <c r="C108" s="132">
        <v>18</v>
      </c>
      <c r="D108" s="35">
        <v>130</v>
      </c>
      <c r="E108" s="35"/>
      <c r="F108" s="132"/>
      <c r="G108" s="132">
        <v>82</v>
      </c>
      <c r="H108" s="132">
        <v>167</v>
      </c>
      <c r="I108" s="35"/>
      <c r="J108" s="35"/>
      <c r="K108" s="35"/>
      <c r="L108" s="22" t="s">
        <v>165</v>
      </c>
      <c r="M108" s="132">
        <v>34</v>
      </c>
      <c r="N108" s="35"/>
      <c r="O108" s="35"/>
      <c r="P108" s="35"/>
      <c r="Q108" s="35"/>
      <c r="R108" s="194">
        <v>23</v>
      </c>
    </row>
    <row r="109" spans="1:39" ht="15.75" customHeight="1" thickBot="1">
      <c r="A109" s="191">
        <v>32</v>
      </c>
      <c r="B109" s="188">
        <v>1</v>
      </c>
      <c r="C109" s="189">
        <v>-9.3000000000000007</v>
      </c>
      <c r="D109" s="190"/>
      <c r="E109" s="190"/>
      <c r="F109" s="190"/>
      <c r="G109" s="190"/>
      <c r="H109" s="189">
        <v>91.6</v>
      </c>
      <c r="I109" s="190"/>
      <c r="J109" s="190"/>
      <c r="K109" s="190"/>
      <c r="L109" s="166" t="s">
        <v>165</v>
      </c>
      <c r="M109" s="189">
        <v>59.8</v>
      </c>
      <c r="N109" s="190"/>
      <c r="O109" s="190"/>
      <c r="P109" s="190"/>
      <c r="Q109" s="190"/>
      <c r="R109" s="38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</row>
    <row r="110" spans="1:39" ht="15.75" customHeight="1">
      <c r="A110" s="193">
        <v>33</v>
      </c>
      <c r="B110" s="186">
        <v>1</v>
      </c>
      <c r="E110" s="132">
        <v>107.4</v>
      </c>
      <c r="H110" s="132">
        <v>172.4</v>
      </c>
      <c r="I110" s="132">
        <v>167.8</v>
      </c>
      <c r="J110" s="132">
        <v>274.60000000000002</v>
      </c>
      <c r="L110" s="132" t="s">
        <v>165</v>
      </c>
      <c r="M110" s="132">
        <v>64.8</v>
      </c>
      <c r="N110" s="132">
        <v>60.8</v>
      </c>
      <c r="O110" s="132">
        <v>49.6</v>
      </c>
      <c r="P110" s="132"/>
      <c r="Q110" s="132" t="s">
        <v>229</v>
      </c>
      <c r="R110" s="194">
        <v>41.6</v>
      </c>
    </row>
    <row r="111" spans="1:39" ht="15.75" customHeight="1">
      <c r="A111" s="193">
        <v>33</v>
      </c>
      <c r="B111" s="186">
        <v>2</v>
      </c>
      <c r="E111" s="132">
        <v>108.6</v>
      </c>
      <c r="H111" s="132">
        <v>174.1</v>
      </c>
      <c r="I111" s="132">
        <v>170.9</v>
      </c>
      <c r="J111" s="132">
        <v>276.5</v>
      </c>
      <c r="L111" s="132" t="s">
        <v>165</v>
      </c>
      <c r="M111" s="132">
        <v>57.4</v>
      </c>
      <c r="N111" s="132">
        <v>51.6</v>
      </c>
      <c r="O111" s="132">
        <v>45.6</v>
      </c>
      <c r="P111" s="132"/>
      <c r="Q111" s="132" t="s">
        <v>229</v>
      </c>
      <c r="R111" s="194">
        <v>35.4</v>
      </c>
    </row>
    <row r="112" spans="1:39" ht="15.75" customHeight="1">
      <c r="A112" s="193">
        <v>33</v>
      </c>
      <c r="B112" s="186">
        <v>3</v>
      </c>
      <c r="E112" s="132">
        <v>109.5</v>
      </c>
      <c r="H112" s="132">
        <v>176.2</v>
      </c>
      <c r="I112" s="132">
        <v>171.7</v>
      </c>
      <c r="J112" s="132">
        <v>272.60000000000002</v>
      </c>
      <c r="L112" s="132" t="s">
        <v>165</v>
      </c>
      <c r="M112" s="132">
        <v>66.099999999999994</v>
      </c>
      <c r="N112" s="132">
        <v>59.7</v>
      </c>
      <c r="O112" s="132">
        <v>51.4</v>
      </c>
      <c r="P112" s="132"/>
      <c r="Q112" s="132" t="s">
        <v>229</v>
      </c>
      <c r="R112" s="194">
        <v>40.1</v>
      </c>
    </row>
    <row r="113" spans="1:18" ht="15.75" customHeight="1">
      <c r="A113" s="193">
        <v>33</v>
      </c>
      <c r="B113" s="186">
        <v>4</v>
      </c>
      <c r="E113" s="132">
        <v>108.3</v>
      </c>
      <c r="H113" s="132">
        <v>174.5</v>
      </c>
      <c r="I113" s="132">
        <v>170.6</v>
      </c>
      <c r="J113" s="132">
        <v>273.39999999999998</v>
      </c>
      <c r="L113" s="132" t="s">
        <v>165</v>
      </c>
      <c r="M113" s="132">
        <v>64.8</v>
      </c>
      <c r="N113" s="132">
        <v>60.9</v>
      </c>
      <c r="O113" s="132">
        <v>48.7</v>
      </c>
      <c r="P113" s="132"/>
      <c r="Q113" s="132" t="s">
        <v>229</v>
      </c>
      <c r="R113" s="194">
        <v>41.7</v>
      </c>
    </row>
    <row r="114" spans="1:18" ht="15.75" customHeight="1">
      <c r="A114" s="193">
        <v>33</v>
      </c>
      <c r="B114" s="186">
        <v>5</v>
      </c>
      <c r="E114" s="132">
        <v>108.1</v>
      </c>
      <c r="H114" s="132">
        <v>175.4</v>
      </c>
      <c r="I114" s="132">
        <v>171.9</v>
      </c>
      <c r="J114" s="132">
        <v>278.2</v>
      </c>
      <c r="L114" s="132" t="s">
        <v>165</v>
      </c>
      <c r="M114" s="132">
        <v>65.400000000000006</v>
      </c>
      <c r="N114" s="132">
        <v>56.2</v>
      </c>
      <c r="O114" s="132">
        <v>49.3</v>
      </c>
      <c r="P114" s="132"/>
      <c r="Q114" s="132" t="s">
        <v>229</v>
      </c>
      <c r="R114" s="194">
        <v>38.5</v>
      </c>
    </row>
    <row r="115" spans="1:18" ht="15.75" customHeight="1">
      <c r="A115" s="193">
        <v>33</v>
      </c>
      <c r="B115" s="186">
        <v>6</v>
      </c>
      <c r="E115" s="132">
        <v>107.6</v>
      </c>
      <c r="H115" s="132">
        <v>176.1</v>
      </c>
      <c r="I115" s="132">
        <v>170.9</v>
      </c>
      <c r="J115" s="132">
        <v>273.89999999999998</v>
      </c>
      <c r="L115" s="132" t="s">
        <v>165</v>
      </c>
      <c r="M115" s="132">
        <v>61.6</v>
      </c>
      <c r="N115" s="132">
        <v>55.6</v>
      </c>
      <c r="O115" s="132">
        <v>48.7</v>
      </c>
      <c r="P115" s="132"/>
      <c r="Q115" s="132" t="s">
        <v>229</v>
      </c>
      <c r="R115" s="194">
        <v>38.1</v>
      </c>
    </row>
    <row r="116" spans="1:18" ht="15.75" customHeight="1">
      <c r="A116" s="191">
        <v>33</v>
      </c>
      <c r="B116" s="188">
        <v>7</v>
      </c>
      <c r="C116" s="195"/>
      <c r="D116" s="195"/>
      <c r="E116" s="189">
        <v>109.5</v>
      </c>
      <c r="F116" s="195"/>
      <c r="G116" s="195"/>
      <c r="H116" s="189">
        <v>174.5</v>
      </c>
      <c r="I116" s="189">
        <v>171.3</v>
      </c>
      <c r="J116" s="189">
        <v>275.8</v>
      </c>
      <c r="K116" s="195"/>
      <c r="L116" s="189" t="s">
        <v>165</v>
      </c>
      <c r="M116" s="189">
        <v>65.8</v>
      </c>
      <c r="N116" s="189">
        <v>57.4</v>
      </c>
      <c r="O116" s="189">
        <v>50.7</v>
      </c>
      <c r="P116" s="189"/>
      <c r="Q116" s="189" t="s">
        <v>229</v>
      </c>
      <c r="R116" s="196">
        <v>39.5</v>
      </c>
    </row>
    <row r="117" spans="1:18" ht="15.75" customHeight="1">
      <c r="A117" s="193">
        <v>34</v>
      </c>
      <c r="B117" s="186">
        <v>1</v>
      </c>
      <c r="E117" s="35">
        <v>85</v>
      </c>
      <c r="H117" s="132">
        <v>171</v>
      </c>
      <c r="I117" s="132">
        <v>176</v>
      </c>
      <c r="L117" s="132" t="s">
        <v>165</v>
      </c>
      <c r="M117" s="35">
        <v>60.5</v>
      </c>
      <c r="P117" s="132"/>
      <c r="Q117" s="132" t="s">
        <v>229</v>
      </c>
      <c r="R117" s="36">
        <v>41</v>
      </c>
    </row>
    <row r="118" spans="1:18" ht="15.75" customHeight="1">
      <c r="A118" s="193">
        <v>34</v>
      </c>
      <c r="B118" s="186">
        <v>2</v>
      </c>
      <c r="E118" s="35">
        <v>85</v>
      </c>
      <c r="H118" s="35">
        <v>170</v>
      </c>
      <c r="I118" s="132"/>
      <c r="L118" s="132" t="s">
        <v>165</v>
      </c>
      <c r="M118" s="35">
        <v>76</v>
      </c>
      <c r="P118" s="132"/>
      <c r="Q118" s="132" t="s">
        <v>229</v>
      </c>
      <c r="R118" s="36">
        <v>54</v>
      </c>
    </row>
    <row r="119" spans="1:18" ht="15.75" customHeight="1">
      <c r="A119" s="193">
        <v>34</v>
      </c>
      <c r="B119" s="186">
        <v>3</v>
      </c>
      <c r="E119" s="35">
        <v>87</v>
      </c>
      <c r="H119" s="132">
        <v>164</v>
      </c>
      <c r="I119" s="132">
        <v>171</v>
      </c>
      <c r="L119" s="132" t="s">
        <v>165</v>
      </c>
      <c r="M119" s="35">
        <v>77</v>
      </c>
      <c r="P119" s="132"/>
      <c r="Q119" s="132" t="s">
        <v>229</v>
      </c>
      <c r="R119" s="36">
        <v>59</v>
      </c>
    </row>
    <row r="120" spans="1:18" ht="15.75" customHeight="1">
      <c r="A120" s="193">
        <v>34</v>
      </c>
      <c r="B120" s="186">
        <v>4</v>
      </c>
      <c r="E120" s="35">
        <v>84</v>
      </c>
      <c r="H120" s="132">
        <v>160</v>
      </c>
      <c r="I120" s="132">
        <v>171</v>
      </c>
      <c r="L120" s="132" t="s">
        <v>165</v>
      </c>
      <c r="M120" s="35">
        <v>85.9</v>
      </c>
      <c r="P120" s="132"/>
      <c r="Q120" s="132" t="s">
        <v>229</v>
      </c>
      <c r="R120" s="36">
        <v>68</v>
      </c>
    </row>
    <row r="121" spans="1:18" ht="15.75" customHeight="1">
      <c r="A121" s="193">
        <v>34</v>
      </c>
      <c r="B121" s="186">
        <v>5</v>
      </c>
      <c r="E121" s="35">
        <v>64</v>
      </c>
      <c r="H121" s="35">
        <v>174</v>
      </c>
      <c r="I121" s="35"/>
      <c r="L121" s="132" t="s">
        <v>165</v>
      </c>
      <c r="M121" s="35">
        <v>60.5</v>
      </c>
      <c r="P121" s="132"/>
      <c r="Q121" s="132" t="s">
        <v>229</v>
      </c>
      <c r="R121" s="36">
        <v>46</v>
      </c>
    </row>
    <row r="122" spans="1:18" ht="15.75" customHeight="1">
      <c r="A122" s="193">
        <v>34</v>
      </c>
      <c r="B122" s="186">
        <v>6</v>
      </c>
      <c r="E122" s="35">
        <v>74</v>
      </c>
      <c r="H122" s="132">
        <v>148</v>
      </c>
      <c r="I122" s="132">
        <v>163</v>
      </c>
      <c r="L122" s="132" t="s">
        <v>165</v>
      </c>
      <c r="M122" s="35">
        <v>76.7</v>
      </c>
      <c r="P122" s="132"/>
      <c r="Q122" s="132" t="s">
        <v>229</v>
      </c>
      <c r="R122" s="36">
        <v>60</v>
      </c>
    </row>
    <row r="123" spans="1:18" ht="15.75" customHeight="1">
      <c r="A123" s="193">
        <v>34</v>
      </c>
      <c r="B123" s="186">
        <v>7</v>
      </c>
      <c r="E123" s="35">
        <v>81</v>
      </c>
      <c r="H123" s="35">
        <v>172</v>
      </c>
      <c r="I123" s="35"/>
      <c r="L123" s="132" t="s">
        <v>165</v>
      </c>
      <c r="M123" s="35">
        <v>90.6</v>
      </c>
      <c r="P123" s="132"/>
      <c r="Q123" s="132" t="s">
        <v>229</v>
      </c>
      <c r="R123" s="36">
        <v>69</v>
      </c>
    </row>
    <row r="124" spans="1:18" ht="15.75" customHeight="1">
      <c r="A124" s="191">
        <v>34</v>
      </c>
      <c r="B124" s="188">
        <v>8</v>
      </c>
      <c r="C124" s="195"/>
      <c r="D124" s="195"/>
      <c r="E124" s="190">
        <v>84</v>
      </c>
      <c r="F124" s="195"/>
      <c r="G124" s="195"/>
      <c r="H124" s="190">
        <v>172</v>
      </c>
      <c r="I124" s="190"/>
      <c r="J124" s="195"/>
      <c r="K124" s="195"/>
      <c r="L124" s="132" t="s">
        <v>165</v>
      </c>
      <c r="M124" s="190">
        <v>84.2</v>
      </c>
      <c r="N124" s="195"/>
      <c r="O124" s="195"/>
      <c r="P124" s="189"/>
      <c r="Q124" s="189" t="s">
        <v>229</v>
      </c>
      <c r="R124" s="38">
        <v>66</v>
      </c>
    </row>
    <row r="125" spans="1:18" ht="15.75" customHeight="1">
      <c r="A125" s="193">
        <v>35</v>
      </c>
      <c r="B125" s="186">
        <v>1</v>
      </c>
      <c r="C125" s="35"/>
      <c r="D125" s="35"/>
      <c r="E125" s="35">
        <v>91</v>
      </c>
      <c r="F125" s="35"/>
      <c r="G125" s="35"/>
      <c r="H125" s="35">
        <v>166</v>
      </c>
      <c r="I125" s="35">
        <v>174</v>
      </c>
      <c r="J125" s="35"/>
      <c r="K125" s="35"/>
      <c r="L125" s="174" t="s">
        <v>165</v>
      </c>
      <c r="M125" s="35">
        <v>77.17</v>
      </c>
      <c r="N125" s="35"/>
      <c r="O125" s="35">
        <v>62.81</v>
      </c>
      <c r="P125" s="132"/>
      <c r="Q125" s="132" t="s">
        <v>229</v>
      </c>
      <c r="R125" s="194">
        <v>52</v>
      </c>
    </row>
    <row r="126" spans="1:18" ht="15.75" customHeight="1">
      <c r="A126" s="193">
        <v>35</v>
      </c>
      <c r="B126" s="186">
        <v>2</v>
      </c>
      <c r="C126" s="35"/>
      <c r="D126" s="35"/>
      <c r="E126" s="35">
        <v>80</v>
      </c>
      <c r="F126" s="35"/>
      <c r="G126" s="35"/>
      <c r="H126" s="35">
        <v>158</v>
      </c>
      <c r="I126" s="35">
        <v>169</v>
      </c>
      <c r="J126" s="35"/>
      <c r="K126" s="35"/>
      <c r="L126" s="132" t="s">
        <v>165</v>
      </c>
      <c r="M126" s="35">
        <v>77.010000000000005</v>
      </c>
      <c r="N126" s="35"/>
      <c r="O126" s="35">
        <v>53.63</v>
      </c>
      <c r="P126" s="132"/>
      <c r="Q126" s="132" t="s">
        <v>229</v>
      </c>
      <c r="R126" s="36">
        <v>52</v>
      </c>
    </row>
    <row r="127" spans="1:18" ht="15.75" customHeight="1">
      <c r="A127" s="193">
        <v>35</v>
      </c>
      <c r="B127" s="186">
        <v>3</v>
      </c>
      <c r="C127" s="35"/>
      <c r="D127" s="35"/>
      <c r="E127" s="35">
        <v>92</v>
      </c>
      <c r="F127" s="35"/>
      <c r="G127" s="35"/>
      <c r="H127" s="35">
        <v>164</v>
      </c>
      <c r="I127" s="35">
        <v>173</v>
      </c>
      <c r="J127" s="35"/>
      <c r="K127" s="35"/>
      <c r="L127" s="132" t="s">
        <v>165</v>
      </c>
      <c r="M127" s="35">
        <v>76.790000000000006</v>
      </c>
      <c r="N127" s="35"/>
      <c r="O127" s="35">
        <v>65.150000000000006</v>
      </c>
      <c r="P127" s="132"/>
      <c r="Q127" s="132" t="s">
        <v>229</v>
      </c>
      <c r="R127" s="36">
        <v>51</v>
      </c>
    </row>
    <row r="128" spans="1:18" ht="15.75" customHeight="1">
      <c r="A128" s="193">
        <v>35</v>
      </c>
      <c r="B128" s="186">
        <v>4</v>
      </c>
      <c r="C128" s="35"/>
      <c r="D128" s="35"/>
      <c r="E128" s="35">
        <v>73</v>
      </c>
      <c r="F128" s="35"/>
      <c r="G128" s="35"/>
      <c r="H128" s="35">
        <v>156</v>
      </c>
      <c r="I128" s="35">
        <v>169</v>
      </c>
      <c r="J128" s="35"/>
      <c r="K128" s="35"/>
      <c r="L128" s="132" t="s">
        <v>165</v>
      </c>
      <c r="M128" s="35">
        <v>76.52</v>
      </c>
      <c r="N128" s="35"/>
      <c r="O128" s="35">
        <v>54.54</v>
      </c>
      <c r="P128" s="132"/>
      <c r="Q128" s="132" t="s">
        <v>229</v>
      </c>
      <c r="R128" s="36">
        <v>51</v>
      </c>
    </row>
    <row r="129" spans="1:18" ht="15.75" customHeight="1">
      <c r="A129" s="193">
        <v>35</v>
      </c>
      <c r="B129" s="186">
        <v>5</v>
      </c>
      <c r="C129" s="35"/>
      <c r="D129" s="35"/>
      <c r="E129" s="35">
        <v>93</v>
      </c>
      <c r="F129" s="35"/>
      <c r="G129" s="35"/>
      <c r="H129" s="35">
        <v>155</v>
      </c>
      <c r="I129" s="35">
        <v>166</v>
      </c>
      <c r="J129" s="35"/>
      <c r="K129" s="35"/>
      <c r="L129" s="132" t="s">
        <v>165</v>
      </c>
      <c r="M129" s="35">
        <v>85.63</v>
      </c>
      <c r="N129" s="35"/>
      <c r="O129" s="35">
        <v>63.57</v>
      </c>
      <c r="P129" s="132"/>
      <c r="Q129" s="132" t="s">
        <v>229</v>
      </c>
      <c r="R129" s="36">
        <v>79</v>
      </c>
    </row>
    <row r="130" spans="1:18" ht="15.75" customHeight="1">
      <c r="A130" s="193">
        <v>35</v>
      </c>
      <c r="B130" s="186">
        <v>6</v>
      </c>
      <c r="C130" s="35">
        <v>-9</v>
      </c>
      <c r="D130" s="35"/>
      <c r="E130" s="35">
        <v>66</v>
      </c>
      <c r="F130" s="35"/>
      <c r="G130" s="35"/>
      <c r="H130" s="35">
        <v>143</v>
      </c>
      <c r="I130" s="35">
        <v>160</v>
      </c>
      <c r="J130" s="35"/>
      <c r="K130" s="35"/>
      <c r="L130" s="132" t="s">
        <v>165</v>
      </c>
      <c r="M130" s="35">
        <v>72.510000000000005</v>
      </c>
      <c r="N130" s="35"/>
      <c r="O130" s="35">
        <v>38.47</v>
      </c>
      <c r="P130" s="132"/>
      <c r="Q130" s="132" t="s">
        <v>229</v>
      </c>
      <c r="R130" s="36">
        <v>66</v>
      </c>
    </row>
    <row r="131" spans="1:18" ht="15.75" customHeight="1">
      <c r="A131" s="193">
        <v>35</v>
      </c>
      <c r="B131" s="186">
        <v>7</v>
      </c>
      <c r="C131" s="35"/>
      <c r="D131" s="35"/>
      <c r="E131" s="35">
        <v>80</v>
      </c>
      <c r="F131" s="35"/>
      <c r="G131" s="35"/>
      <c r="H131" s="35">
        <v>150</v>
      </c>
      <c r="I131" s="35">
        <v>163</v>
      </c>
      <c r="J131" s="35"/>
      <c r="K131" s="35"/>
      <c r="L131" s="132" t="s">
        <v>165</v>
      </c>
      <c r="M131" s="35">
        <v>73.709999999999994</v>
      </c>
      <c r="N131" s="35"/>
      <c r="O131" s="35">
        <v>60.75</v>
      </c>
      <c r="P131" s="132"/>
      <c r="Q131" s="132" t="s">
        <v>229</v>
      </c>
      <c r="R131" s="36">
        <v>67</v>
      </c>
    </row>
    <row r="132" spans="1:18" ht="15.75" customHeight="1">
      <c r="A132" s="193">
        <v>35</v>
      </c>
      <c r="B132" s="186">
        <v>8</v>
      </c>
      <c r="C132" s="35"/>
      <c r="D132" s="35"/>
      <c r="E132" s="35">
        <v>67</v>
      </c>
      <c r="F132" s="35"/>
      <c r="G132" s="35"/>
      <c r="H132" s="35">
        <v>143</v>
      </c>
      <c r="I132" s="35">
        <v>160</v>
      </c>
      <c r="J132" s="35"/>
      <c r="K132" s="35"/>
      <c r="L132" s="132" t="s">
        <v>165</v>
      </c>
      <c r="M132" s="35">
        <v>66.489999999999995</v>
      </c>
      <c r="N132" s="35"/>
      <c r="O132" s="35">
        <v>47.22</v>
      </c>
      <c r="P132" s="132"/>
      <c r="Q132" s="132" t="s">
        <v>229</v>
      </c>
      <c r="R132" s="36">
        <v>61</v>
      </c>
    </row>
    <row r="133" spans="1:18" ht="15.75" customHeight="1">
      <c r="A133" s="193">
        <v>35</v>
      </c>
      <c r="B133" s="186">
        <v>9</v>
      </c>
      <c r="C133" s="35">
        <v>-0.8</v>
      </c>
      <c r="D133" s="35"/>
      <c r="E133" s="35">
        <v>81</v>
      </c>
      <c r="F133" s="35"/>
      <c r="G133" s="35"/>
      <c r="H133" s="35">
        <v>147</v>
      </c>
      <c r="I133" s="35">
        <v>161</v>
      </c>
      <c r="J133" s="35"/>
      <c r="K133" s="35"/>
      <c r="L133" s="132" t="s">
        <v>165</v>
      </c>
      <c r="M133" s="35">
        <v>53.35</v>
      </c>
      <c r="N133" s="35"/>
      <c r="O133" s="35">
        <v>33.78</v>
      </c>
      <c r="P133" s="132"/>
      <c r="Q133" s="132" t="s">
        <v>229</v>
      </c>
      <c r="R133" s="36">
        <v>49</v>
      </c>
    </row>
    <row r="134" spans="1:18" ht="15.75" customHeight="1">
      <c r="A134" s="193">
        <v>35</v>
      </c>
      <c r="B134" s="186">
        <v>10</v>
      </c>
      <c r="C134" s="35">
        <v>-11</v>
      </c>
      <c r="D134" s="35"/>
      <c r="E134" s="35">
        <v>93</v>
      </c>
      <c r="F134" s="35"/>
      <c r="G134" s="35"/>
      <c r="H134" s="35">
        <v>146</v>
      </c>
      <c r="I134" s="35">
        <v>159</v>
      </c>
      <c r="J134" s="35"/>
      <c r="K134" s="35"/>
      <c r="L134" s="132" t="s">
        <v>165</v>
      </c>
      <c r="M134" s="35">
        <v>49.5</v>
      </c>
      <c r="N134" s="35"/>
      <c r="O134" s="35">
        <v>38.44</v>
      </c>
      <c r="P134" s="132"/>
      <c r="Q134" s="132" t="s">
        <v>229</v>
      </c>
      <c r="R134" s="36">
        <v>45</v>
      </c>
    </row>
    <row r="135" spans="1:18" ht="15.75" customHeight="1">
      <c r="A135" s="193">
        <v>35</v>
      </c>
      <c r="B135" s="186">
        <v>11</v>
      </c>
      <c r="C135" s="35">
        <v>-4</v>
      </c>
      <c r="D135" s="35"/>
      <c r="E135" s="35">
        <v>94</v>
      </c>
      <c r="F135" s="35"/>
      <c r="G135" s="35"/>
      <c r="H135" s="35">
        <v>147</v>
      </c>
      <c r="I135" s="35">
        <v>160</v>
      </c>
      <c r="J135" s="35"/>
      <c r="K135" s="35"/>
      <c r="L135" s="132" t="s">
        <v>165</v>
      </c>
      <c r="M135" s="35">
        <v>54.49</v>
      </c>
      <c r="N135" s="35"/>
      <c r="O135" s="35">
        <v>47.89</v>
      </c>
      <c r="P135" s="132"/>
      <c r="Q135" s="132" t="s">
        <v>229</v>
      </c>
      <c r="R135" s="36">
        <v>50</v>
      </c>
    </row>
    <row r="136" spans="1:18" ht="15.75" customHeight="1">
      <c r="A136" s="191">
        <v>35</v>
      </c>
      <c r="B136" s="188">
        <v>12</v>
      </c>
      <c r="C136" s="190">
        <v>-18</v>
      </c>
      <c r="D136" s="190"/>
      <c r="E136" s="190">
        <v>99</v>
      </c>
      <c r="F136" s="190"/>
      <c r="G136" s="190"/>
      <c r="H136" s="190">
        <v>147</v>
      </c>
      <c r="I136" s="190">
        <v>159</v>
      </c>
      <c r="J136" s="190"/>
      <c r="K136" s="190"/>
      <c r="L136" s="189" t="s">
        <v>165</v>
      </c>
      <c r="M136" s="190">
        <v>44.5</v>
      </c>
      <c r="N136" s="190"/>
      <c r="O136" s="190">
        <v>30.82</v>
      </c>
      <c r="P136" s="189"/>
      <c r="Q136" s="189" t="s">
        <v>229</v>
      </c>
      <c r="R136" s="38">
        <v>41</v>
      </c>
    </row>
    <row r="137" spans="1:18" ht="15.75" customHeight="1">
      <c r="A137" s="173">
        <v>36</v>
      </c>
      <c r="B137" s="184">
        <v>1</v>
      </c>
      <c r="C137" s="176"/>
      <c r="D137" s="176"/>
      <c r="E137" s="174">
        <v>28.5</v>
      </c>
      <c r="F137" s="176"/>
      <c r="G137" s="176"/>
      <c r="H137" s="174">
        <v>161</v>
      </c>
      <c r="I137" s="176"/>
      <c r="J137" s="176"/>
      <c r="K137" s="176"/>
      <c r="L137" s="174" t="s">
        <v>165</v>
      </c>
      <c r="M137" s="174">
        <v>65.900000000000006</v>
      </c>
      <c r="N137" s="176"/>
      <c r="O137" s="176"/>
      <c r="P137" s="174"/>
      <c r="Q137" s="174" t="s">
        <v>229</v>
      </c>
      <c r="R137" s="31"/>
    </row>
    <row r="138" spans="1:18" ht="15.75" customHeight="1">
      <c r="A138" s="185">
        <v>36</v>
      </c>
      <c r="B138" s="186">
        <v>2</v>
      </c>
      <c r="C138" s="35"/>
      <c r="D138" s="35"/>
      <c r="E138" s="132">
        <v>36.6</v>
      </c>
      <c r="F138" s="35"/>
      <c r="G138" s="35"/>
      <c r="H138" s="132">
        <v>160.5</v>
      </c>
      <c r="I138" s="35"/>
      <c r="J138" s="35"/>
      <c r="K138" s="35"/>
      <c r="L138" s="132" t="s">
        <v>165</v>
      </c>
      <c r="M138" s="132">
        <v>56.1</v>
      </c>
      <c r="N138" s="35"/>
      <c r="O138" s="35"/>
      <c r="P138" s="132"/>
      <c r="Q138" s="132" t="s">
        <v>229</v>
      </c>
      <c r="R138" s="36"/>
    </row>
    <row r="139" spans="1:18" ht="15.75" customHeight="1">
      <c r="A139" s="185">
        <v>36</v>
      </c>
      <c r="B139" s="186">
        <v>3</v>
      </c>
      <c r="C139" s="35"/>
      <c r="D139" s="35"/>
      <c r="E139" s="132">
        <v>39.6</v>
      </c>
      <c r="F139" s="35"/>
      <c r="G139" s="35"/>
      <c r="H139" s="132">
        <v>158.19999999999999</v>
      </c>
      <c r="I139" s="35"/>
      <c r="J139" s="35"/>
      <c r="K139" s="35"/>
      <c r="L139" s="132" t="s">
        <v>165</v>
      </c>
      <c r="M139" s="132">
        <v>58.1</v>
      </c>
      <c r="N139" s="35"/>
      <c r="O139" s="35"/>
      <c r="P139" s="132"/>
      <c r="Q139" s="132" t="s">
        <v>229</v>
      </c>
      <c r="R139" s="36"/>
    </row>
    <row r="140" spans="1:18" ht="15.75" customHeight="1">
      <c r="A140" s="185">
        <v>36</v>
      </c>
      <c r="B140" s="186">
        <v>4</v>
      </c>
      <c r="C140" s="35"/>
      <c r="D140" s="35"/>
      <c r="E140" s="132">
        <v>41.7</v>
      </c>
      <c r="F140" s="35"/>
      <c r="G140" s="35"/>
      <c r="H140" s="132">
        <v>161.6</v>
      </c>
      <c r="I140" s="35"/>
      <c r="J140" s="35"/>
      <c r="K140" s="35"/>
      <c r="L140" s="132" t="s">
        <v>165</v>
      </c>
      <c r="M140" s="132">
        <v>64.5</v>
      </c>
      <c r="N140" s="35"/>
      <c r="O140" s="35"/>
      <c r="P140" s="132"/>
      <c r="Q140" s="132" t="s">
        <v>229</v>
      </c>
      <c r="R140" s="36"/>
    </row>
    <row r="141" spans="1:18" ht="15.75" customHeight="1">
      <c r="A141" s="185">
        <v>36</v>
      </c>
      <c r="B141" s="186">
        <v>5</v>
      </c>
      <c r="C141" s="35"/>
      <c r="D141" s="35"/>
      <c r="E141" s="132">
        <v>48.7</v>
      </c>
      <c r="F141" s="35"/>
      <c r="G141" s="35"/>
      <c r="H141" s="132">
        <v>158.9</v>
      </c>
      <c r="I141" s="35"/>
      <c r="J141" s="35"/>
      <c r="K141" s="35"/>
      <c r="L141" s="132" t="s">
        <v>165</v>
      </c>
      <c r="M141" s="132">
        <v>67</v>
      </c>
      <c r="N141" s="35"/>
      <c r="O141" s="35"/>
      <c r="P141" s="132"/>
      <c r="Q141" s="132" t="s">
        <v>229</v>
      </c>
      <c r="R141" s="36"/>
    </row>
    <row r="142" spans="1:18" ht="15.75" customHeight="1">
      <c r="A142" s="185">
        <v>36</v>
      </c>
      <c r="B142" s="186">
        <v>6</v>
      </c>
      <c r="C142" s="35"/>
      <c r="D142" s="35"/>
      <c r="E142" s="132">
        <v>36.200000000000003</v>
      </c>
      <c r="F142" s="35"/>
      <c r="G142" s="35"/>
      <c r="H142" s="132">
        <v>160.5</v>
      </c>
      <c r="I142" s="35"/>
      <c r="J142" s="35"/>
      <c r="K142" s="35"/>
      <c r="L142" s="132" t="s">
        <v>165</v>
      </c>
      <c r="M142" s="132">
        <v>63.6</v>
      </c>
      <c r="N142" s="35"/>
      <c r="O142" s="35"/>
      <c r="P142" s="132"/>
      <c r="Q142" s="132" t="s">
        <v>229</v>
      </c>
      <c r="R142" s="36"/>
    </row>
    <row r="143" spans="1:18" ht="15.75" customHeight="1">
      <c r="A143" s="185">
        <v>36</v>
      </c>
      <c r="B143" s="186">
        <v>7</v>
      </c>
      <c r="C143" s="35"/>
      <c r="D143" s="35"/>
      <c r="E143" s="132">
        <v>34.799999999999997</v>
      </c>
      <c r="F143" s="35"/>
      <c r="G143" s="35"/>
      <c r="H143" s="132">
        <v>160.30000000000001</v>
      </c>
      <c r="I143" s="35"/>
      <c r="J143" s="35"/>
      <c r="K143" s="35"/>
      <c r="L143" s="132" t="s">
        <v>165</v>
      </c>
      <c r="M143" s="132">
        <v>68</v>
      </c>
      <c r="N143" s="35"/>
      <c r="O143" s="35"/>
      <c r="P143" s="132"/>
      <c r="Q143" s="132" t="s">
        <v>229</v>
      </c>
      <c r="R143" s="36"/>
    </row>
    <row r="144" spans="1:18" ht="15.75" customHeight="1">
      <c r="A144" s="185">
        <v>36</v>
      </c>
      <c r="B144" s="186">
        <v>8</v>
      </c>
      <c r="C144" s="35"/>
      <c r="D144" s="35"/>
      <c r="E144" s="132">
        <v>39</v>
      </c>
      <c r="F144" s="35"/>
      <c r="G144" s="35"/>
      <c r="H144" s="132">
        <v>159.5</v>
      </c>
      <c r="I144" s="35"/>
      <c r="J144" s="35"/>
      <c r="K144" s="35"/>
      <c r="L144" s="132" t="s">
        <v>165</v>
      </c>
      <c r="M144" s="132">
        <v>61.6</v>
      </c>
      <c r="N144" s="35"/>
      <c r="O144" s="35"/>
      <c r="P144" s="132"/>
      <c r="Q144" s="132" t="s">
        <v>229</v>
      </c>
      <c r="R144" s="36"/>
    </row>
    <row r="145" spans="1:18" ht="15.75" customHeight="1">
      <c r="A145" s="187">
        <v>36</v>
      </c>
      <c r="B145" s="188">
        <v>9</v>
      </c>
      <c r="C145" s="190"/>
      <c r="D145" s="190"/>
      <c r="E145" s="189">
        <v>41.6</v>
      </c>
      <c r="F145" s="190"/>
      <c r="G145" s="190"/>
      <c r="H145" s="189">
        <v>159.6</v>
      </c>
      <c r="I145" s="190"/>
      <c r="J145" s="190"/>
      <c r="K145" s="190"/>
      <c r="L145" s="189" t="s">
        <v>165</v>
      </c>
      <c r="M145" s="189">
        <v>56.3</v>
      </c>
      <c r="N145" s="190"/>
      <c r="O145" s="190"/>
      <c r="P145" s="189"/>
      <c r="Q145" s="189" t="s">
        <v>229</v>
      </c>
      <c r="R145" s="38"/>
    </row>
    <row r="146" spans="1:18" ht="15.75" customHeight="1">
      <c r="A146" s="173">
        <v>37</v>
      </c>
      <c r="B146" s="184">
        <v>1</v>
      </c>
      <c r="C146" s="174">
        <v>0.6</v>
      </c>
      <c r="D146" s="176"/>
      <c r="E146" s="176"/>
      <c r="F146" s="176"/>
      <c r="G146" s="176"/>
      <c r="H146" s="174">
        <v>174</v>
      </c>
      <c r="I146" s="176"/>
      <c r="J146" s="176"/>
      <c r="K146" s="176"/>
      <c r="L146" s="174" t="s">
        <v>165</v>
      </c>
      <c r="M146" s="174">
        <v>88.6</v>
      </c>
      <c r="N146" s="176"/>
      <c r="O146" s="176"/>
      <c r="P146" s="174"/>
      <c r="Q146" s="174" t="s">
        <v>229</v>
      </c>
      <c r="R146" s="197">
        <v>60.7</v>
      </c>
    </row>
    <row r="147" spans="1:18" ht="15.75" customHeight="1">
      <c r="A147" s="185">
        <v>37</v>
      </c>
      <c r="B147" s="186">
        <v>2</v>
      </c>
      <c r="C147" s="132">
        <v>-3.8</v>
      </c>
      <c r="D147" s="35"/>
      <c r="E147" s="35"/>
      <c r="F147" s="35"/>
      <c r="G147" s="35"/>
      <c r="H147" s="132">
        <v>168</v>
      </c>
      <c r="I147" s="35"/>
      <c r="J147" s="35"/>
      <c r="K147" s="35"/>
      <c r="L147" s="132" t="s">
        <v>165</v>
      </c>
      <c r="M147" s="132">
        <v>76.8</v>
      </c>
      <c r="N147" s="35"/>
      <c r="O147" s="35"/>
      <c r="P147" s="132"/>
      <c r="Q147" s="132" t="s">
        <v>229</v>
      </c>
      <c r="R147" s="194">
        <v>52.6</v>
      </c>
    </row>
    <row r="148" spans="1:18" ht="15.75" customHeight="1">
      <c r="A148" s="187">
        <v>37</v>
      </c>
      <c r="B148" s="188">
        <v>3</v>
      </c>
      <c r="C148" s="189">
        <v>-5.5</v>
      </c>
      <c r="D148" s="190"/>
      <c r="E148" s="190"/>
      <c r="F148" s="190"/>
      <c r="G148" s="190"/>
      <c r="H148" s="189">
        <v>155</v>
      </c>
      <c r="I148" s="190"/>
      <c r="J148" s="190"/>
      <c r="K148" s="190"/>
      <c r="L148" s="189" t="s">
        <v>165</v>
      </c>
      <c r="M148" s="189">
        <v>67.3</v>
      </c>
      <c r="N148" s="190"/>
      <c r="O148" s="190"/>
      <c r="P148" s="189"/>
      <c r="Q148" s="189" t="s">
        <v>229</v>
      </c>
      <c r="R148" s="196">
        <v>46.1</v>
      </c>
    </row>
    <row r="149" spans="1:18" ht="15.75" customHeight="1">
      <c r="A149" s="173">
        <v>38</v>
      </c>
      <c r="B149" s="184">
        <v>1</v>
      </c>
      <c r="C149" s="174">
        <v>-0.7</v>
      </c>
      <c r="D149" s="176"/>
      <c r="E149" s="174">
        <v>61.8</v>
      </c>
      <c r="F149" s="176"/>
      <c r="G149" s="176"/>
      <c r="H149" s="174">
        <v>126.1</v>
      </c>
      <c r="I149" s="174">
        <v>152.5</v>
      </c>
      <c r="J149" s="174">
        <v>318</v>
      </c>
      <c r="K149" s="176"/>
      <c r="L149" s="132" t="s">
        <v>165</v>
      </c>
      <c r="M149" s="176"/>
      <c r="N149" s="176"/>
      <c r="O149" s="176"/>
      <c r="P149" s="176"/>
      <c r="Q149" s="176"/>
      <c r="R149" s="31"/>
    </row>
    <row r="150" spans="1:18" ht="15.75" customHeight="1">
      <c r="A150" s="185">
        <v>38</v>
      </c>
      <c r="B150" s="186">
        <v>2</v>
      </c>
      <c r="C150" s="132">
        <v>-3.5</v>
      </c>
      <c r="D150" s="35"/>
      <c r="E150" s="132">
        <v>107.1</v>
      </c>
      <c r="F150" s="35"/>
      <c r="G150" s="35"/>
      <c r="H150" s="132">
        <v>150.9</v>
      </c>
      <c r="I150" s="132">
        <v>166.5</v>
      </c>
      <c r="J150" s="132">
        <v>329</v>
      </c>
      <c r="K150" s="35"/>
      <c r="L150" s="132" t="s">
        <v>165</v>
      </c>
      <c r="M150" s="35"/>
      <c r="N150" s="35"/>
      <c r="O150" s="35"/>
      <c r="P150" s="35"/>
      <c r="Q150" s="35"/>
      <c r="R150" s="36"/>
    </row>
    <row r="151" spans="1:18" ht="15.75" customHeight="1">
      <c r="A151" s="185">
        <v>38</v>
      </c>
      <c r="B151" s="186">
        <v>3</v>
      </c>
      <c r="C151" s="132">
        <v>-5.3</v>
      </c>
      <c r="D151" s="35"/>
      <c r="E151" s="132">
        <v>104.8</v>
      </c>
      <c r="F151" s="35"/>
      <c r="G151" s="35"/>
      <c r="H151" s="132">
        <v>159.69999999999999</v>
      </c>
      <c r="I151" s="132">
        <v>170.1</v>
      </c>
      <c r="J151" s="132">
        <v>325</v>
      </c>
      <c r="K151" s="35"/>
      <c r="L151" s="132" t="s">
        <v>165</v>
      </c>
      <c r="M151" s="35"/>
      <c r="N151" s="35"/>
      <c r="O151" s="35"/>
      <c r="P151" s="35"/>
      <c r="Q151" s="35"/>
      <c r="R151" s="36"/>
    </row>
    <row r="152" spans="1:18" ht="15.75" customHeight="1">
      <c r="A152" s="185">
        <v>38</v>
      </c>
      <c r="B152" s="186">
        <v>4</v>
      </c>
      <c r="C152" s="132">
        <v>-7.4</v>
      </c>
      <c r="D152" s="35"/>
      <c r="E152" s="132">
        <v>80</v>
      </c>
      <c r="F152" s="35"/>
      <c r="G152" s="35"/>
      <c r="H152" s="132">
        <v>153.80000000000001</v>
      </c>
      <c r="I152" s="132">
        <v>165.3</v>
      </c>
      <c r="J152" s="132">
        <v>325</v>
      </c>
      <c r="K152" s="35"/>
      <c r="L152" s="132" t="s">
        <v>165</v>
      </c>
      <c r="M152" s="35"/>
      <c r="N152" s="35"/>
      <c r="O152" s="35"/>
      <c r="P152" s="35"/>
      <c r="Q152" s="35"/>
      <c r="R152" s="36"/>
    </row>
    <row r="153" spans="1:18" ht="15.75" customHeight="1">
      <c r="A153" s="187">
        <v>38</v>
      </c>
      <c r="B153" s="186">
        <v>5</v>
      </c>
      <c r="C153" s="189">
        <v>-1.6</v>
      </c>
      <c r="D153" s="190"/>
      <c r="E153" s="189">
        <v>64.2</v>
      </c>
      <c r="F153" s="190"/>
      <c r="G153" s="190"/>
      <c r="H153" s="189">
        <v>128.6</v>
      </c>
      <c r="I153" s="189">
        <v>152.1</v>
      </c>
      <c r="J153" s="189">
        <v>320</v>
      </c>
      <c r="K153" s="190"/>
      <c r="L153" s="189" t="s">
        <v>165</v>
      </c>
      <c r="M153" s="190"/>
      <c r="N153" s="190"/>
      <c r="O153" s="190"/>
      <c r="P153" s="190"/>
      <c r="Q153" s="190"/>
      <c r="R153" s="38"/>
    </row>
    <row r="154" spans="1:18" ht="15.75" customHeight="1">
      <c r="A154" s="32">
        <v>39</v>
      </c>
      <c r="B154" s="198">
        <v>1</v>
      </c>
      <c r="C154" s="177">
        <v>5</v>
      </c>
      <c r="D154" s="183"/>
      <c r="E154" s="177">
        <v>121.9</v>
      </c>
      <c r="F154" s="183"/>
      <c r="G154" s="183"/>
      <c r="H154" s="177">
        <v>173.1</v>
      </c>
      <c r="I154" s="183"/>
      <c r="J154" s="183"/>
      <c r="K154" s="183"/>
      <c r="L154" s="189" t="s">
        <v>165</v>
      </c>
      <c r="M154" s="177">
        <v>99.9</v>
      </c>
      <c r="N154" s="183"/>
      <c r="O154" s="177">
        <v>97.2</v>
      </c>
      <c r="P154" s="177"/>
      <c r="Q154" s="177" t="s">
        <v>229</v>
      </c>
      <c r="R154" s="199">
        <v>69.900000000000006</v>
      </c>
    </row>
    <row r="155" spans="1:18" ht="15.75" customHeight="1">
      <c r="A155" s="193">
        <v>40</v>
      </c>
      <c r="B155" s="186">
        <v>1</v>
      </c>
      <c r="C155" s="35"/>
      <c r="D155" s="35"/>
      <c r="E155" s="132">
        <v>79.819999999999993</v>
      </c>
      <c r="F155" s="35"/>
      <c r="G155" s="35"/>
      <c r="H155" s="132">
        <v>169.8</v>
      </c>
      <c r="I155" s="132">
        <v>160.88999999999999</v>
      </c>
      <c r="J155" s="132">
        <v>232</v>
      </c>
      <c r="K155" s="35"/>
      <c r="L155" s="132" t="s">
        <v>165</v>
      </c>
      <c r="M155" s="35"/>
      <c r="N155" s="35"/>
      <c r="O155" s="35"/>
      <c r="P155" s="35"/>
      <c r="Q155" s="35"/>
      <c r="R155" s="36"/>
    </row>
    <row r="156" spans="1:18" ht="15.75" customHeight="1">
      <c r="A156" s="193">
        <v>40</v>
      </c>
      <c r="B156" s="186">
        <v>2</v>
      </c>
      <c r="C156" s="35"/>
      <c r="D156" s="35"/>
      <c r="E156" s="132">
        <v>77.760000000000005</v>
      </c>
      <c r="F156" s="35"/>
      <c r="G156" s="35"/>
      <c r="H156" s="132">
        <v>169.35</v>
      </c>
      <c r="I156" s="132">
        <v>158.63999999999999</v>
      </c>
      <c r="J156" s="132">
        <v>227</v>
      </c>
      <c r="K156" s="35"/>
      <c r="L156" s="132" t="s">
        <v>165</v>
      </c>
      <c r="M156" s="35"/>
      <c r="N156" s="35"/>
      <c r="O156" s="35"/>
      <c r="P156" s="35"/>
      <c r="Q156" s="35"/>
      <c r="R156" s="36"/>
    </row>
    <row r="157" spans="1:18" ht="15.75" customHeight="1">
      <c r="A157" s="191">
        <v>40</v>
      </c>
      <c r="B157" s="188">
        <v>3</v>
      </c>
      <c r="C157" s="190"/>
      <c r="D157" s="190"/>
      <c r="E157" s="189">
        <v>77.39</v>
      </c>
      <c r="F157" s="190"/>
      <c r="G157" s="190"/>
      <c r="H157" s="189">
        <v>169.56</v>
      </c>
      <c r="I157" s="189">
        <v>157.13</v>
      </c>
      <c r="J157" s="189">
        <v>216</v>
      </c>
      <c r="K157" s="190"/>
      <c r="L157" s="189" t="s">
        <v>165</v>
      </c>
      <c r="M157" s="190"/>
      <c r="N157" s="190"/>
      <c r="O157" s="190"/>
      <c r="P157" s="190"/>
      <c r="Q157" s="190"/>
      <c r="R157" s="38"/>
    </row>
    <row r="158" spans="1:18" ht="15.75" customHeight="1">
      <c r="A158" s="193">
        <v>41</v>
      </c>
      <c r="B158" s="186">
        <v>1</v>
      </c>
      <c r="J158" s="132">
        <v>276.60000000000002</v>
      </c>
      <c r="L158" s="132" t="s">
        <v>165</v>
      </c>
      <c r="R158" s="6"/>
    </row>
    <row r="159" spans="1:18" ht="15.75" customHeight="1">
      <c r="A159" s="193">
        <v>41</v>
      </c>
      <c r="B159" s="186">
        <v>2</v>
      </c>
      <c r="J159" s="132">
        <v>264.2</v>
      </c>
      <c r="L159" s="132" t="s">
        <v>165</v>
      </c>
      <c r="R159" s="6"/>
    </row>
    <row r="160" spans="1:18" ht="15.75" customHeight="1">
      <c r="A160" s="193">
        <v>41</v>
      </c>
      <c r="B160" s="186">
        <v>3</v>
      </c>
      <c r="J160" s="132">
        <v>265</v>
      </c>
      <c r="L160" s="132" t="s">
        <v>165</v>
      </c>
      <c r="R160" s="6"/>
    </row>
    <row r="161" spans="1:18" ht="15.75" customHeight="1">
      <c r="A161" s="193">
        <v>41</v>
      </c>
      <c r="B161" s="186">
        <v>4</v>
      </c>
      <c r="J161" s="132">
        <v>245.8</v>
      </c>
      <c r="L161" s="132" t="s">
        <v>165</v>
      </c>
      <c r="R161" s="6"/>
    </row>
    <row r="162" spans="1:18" ht="15.75" customHeight="1">
      <c r="A162" s="191">
        <v>41</v>
      </c>
      <c r="B162" s="188">
        <v>5</v>
      </c>
      <c r="C162" s="195"/>
      <c r="D162" s="195"/>
      <c r="E162" s="195"/>
      <c r="F162" s="195"/>
      <c r="G162" s="195"/>
      <c r="H162" s="195"/>
      <c r="I162" s="195"/>
      <c r="J162" s="189">
        <v>160.80000000000001</v>
      </c>
      <c r="K162" s="195"/>
      <c r="L162" s="189" t="s">
        <v>165</v>
      </c>
      <c r="M162" s="195"/>
      <c r="N162" s="195"/>
      <c r="O162" s="195"/>
      <c r="P162" s="195"/>
      <c r="Q162" s="195"/>
      <c r="R162" s="41"/>
    </row>
    <row r="163" spans="1:18" ht="15.75" customHeight="1">
      <c r="A163" s="193">
        <v>42</v>
      </c>
      <c r="B163" s="186">
        <v>1</v>
      </c>
      <c r="C163" s="132">
        <v>6.1</v>
      </c>
      <c r="E163" s="35"/>
      <c r="F163" s="35"/>
      <c r="G163" s="35"/>
      <c r="H163" s="132">
        <v>169</v>
      </c>
      <c r="J163" s="35"/>
      <c r="K163" s="35"/>
      <c r="L163" s="132" t="s">
        <v>165</v>
      </c>
      <c r="M163" s="35"/>
      <c r="N163" s="35"/>
      <c r="O163" s="35"/>
      <c r="P163" s="35"/>
      <c r="Q163" s="35"/>
      <c r="R163" s="36"/>
    </row>
    <row r="164" spans="1:18" ht="15.75" customHeight="1">
      <c r="A164" s="193">
        <v>42</v>
      </c>
      <c r="B164" s="186">
        <v>2</v>
      </c>
      <c r="C164" s="132">
        <v>-4.2</v>
      </c>
      <c r="E164" s="132">
        <v>41.8</v>
      </c>
      <c r="F164" s="35"/>
      <c r="G164" s="35"/>
      <c r="H164" s="132">
        <v>164.2</v>
      </c>
      <c r="J164" s="35"/>
      <c r="K164" s="35"/>
      <c r="L164" s="132" t="s">
        <v>165</v>
      </c>
      <c r="M164" s="35"/>
      <c r="N164" s="35"/>
      <c r="O164" s="132">
        <v>35</v>
      </c>
      <c r="P164" s="132"/>
      <c r="Q164" s="132" t="s">
        <v>229</v>
      </c>
      <c r="R164" s="36"/>
    </row>
    <row r="165" spans="1:18" ht="15.75" customHeight="1">
      <c r="A165" s="193">
        <v>42</v>
      </c>
      <c r="B165" s="186">
        <v>3</v>
      </c>
      <c r="C165" s="132">
        <v>-3.6</v>
      </c>
      <c r="E165" s="132">
        <v>43.5</v>
      </c>
      <c r="F165" s="35"/>
      <c r="G165" s="35"/>
      <c r="H165" s="132">
        <v>163.5</v>
      </c>
      <c r="J165" s="35"/>
      <c r="K165" s="35"/>
      <c r="L165" s="132" t="s">
        <v>165</v>
      </c>
      <c r="M165" s="35"/>
      <c r="N165" s="35"/>
      <c r="O165" s="132">
        <v>31.4</v>
      </c>
      <c r="P165" s="132"/>
      <c r="Q165" s="132" t="s">
        <v>229</v>
      </c>
      <c r="R165" s="36"/>
    </row>
    <row r="166" spans="1:18" ht="15.75" customHeight="1">
      <c r="A166" s="193">
        <v>42</v>
      </c>
      <c r="B166" s="186">
        <v>4</v>
      </c>
      <c r="C166" s="132">
        <v>-2.8</v>
      </c>
      <c r="E166" s="132">
        <v>44.5</v>
      </c>
      <c r="F166" s="35"/>
      <c r="G166" s="35"/>
      <c r="H166" s="132">
        <v>164.6</v>
      </c>
      <c r="J166" s="35"/>
      <c r="K166" s="35"/>
      <c r="L166" s="132" t="s">
        <v>165</v>
      </c>
      <c r="M166" s="35"/>
      <c r="N166" s="35"/>
      <c r="O166" s="132">
        <v>13.9</v>
      </c>
      <c r="P166" s="132"/>
      <c r="Q166" s="132" t="s">
        <v>229</v>
      </c>
      <c r="R166" s="36"/>
    </row>
    <row r="167" spans="1:18" ht="15.75" customHeight="1">
      <c r="A167" s="193">
        <v>42</v>
      </c>
      <c r="B167" s="186">
        <v>5</v>
      </c>
      <c r="C167" s="132">
        <v>-2.8</v>
      </c>
      <c r="E167" s="132">
        <v>44.3</v>
      </c>
      <c r="F167" s="35"/>
      <c r="G167" s="35"/>
      <c r="H167" s="132">
        <v>164.9</v>
      </c>
      <c r="J167" s="35"/>
      <c r="K167" s="35"/>
      <c r="L167" s="132" t="s">
        <v>165</v>
      </c>
      <c r="M167" s="35"/>
      <c r="N167" s="35"/>
      <c r="O167" s="132">
        <v>16.899999999999999</v>
      </c>
      <c r="P167" s="132"/>
      <c r="Q167" s="132" t="s">
        <v>229</v>
      </c>
      <c r="R167" s="36"/>
    </row>
    <row r="168" spans="1:18" ht="15.75" customHeight="1">
      <c r="A168" s="193">
        <v>42</v>
      </c>
      <c r="B168" s="186">
        <v>6</v>
      </c>
      <c r="C168" s="132">
        <v>-2.4</v>
      </c>
      <c r="E168" s="132">
        <v>41.4</v>
      </c>
      <c r="F168" s="35"/>
      <c r="G168" s="35"/>
      <c r="H168" s="132">
        <v>165.4</v>
      </c>
      <c r="J168" s="35"/>
      <c r="K168" s="35"/>
      <c r="L168" s="132" t="s">
        <v>165</v>
      </c>
      <c r="M168" s="35"/>
      <c r="N168" s="35"/>
      <c r="O168" s="132">
        <v>14.6</v>
      </c>
      <c r="P168" s="132"/>
      <c r="Q168" s="132" t="s">
        <v>229</v>
      </c>
      <c r="R168" s="36"/>
    </row>
    <row r="169" spans="1:18" ht="15.75" customHeight="1">
      <c r="A169" s="193">
        <v>42</v>
      </c>
      <c r="B169" s="186">
        <v>7</v>
      </c>
      <c r="C169" s="132">
        <v>-9.8000000000000007</v>
      </c>
      <c r="E169" s="132">
        <v>27.6</v>
      </c>
      <c r="F169" s="35"/>
      <c r="G169" s="35"/>
      <c r="H169" s="132">
        <v>162.9</v>
      </c>
      <c r="J169" s="35"/>
      <c r="K169" s="35"/>
      <c r="L169" s="132" t="s">
        <v>165</v>
      </c>
      <c r="M169" s="35"/>
      <c r="N169" s="35"/>
      <c r="O169" s="132">
        <v>5.9</v>
      </c>
      <c r="P169" s="132"/>
      <c r="Q169" s="132" t="s">
        <v>229</v>
      </c>
      <c r="R169" s="36"/>
    </row>
    <row r="170" spans="1:18" ht="15.75" customHeight="1">
      <c r="A170" s="193">
        <v>42</v>
      </c>
      <c r="B170" s="186">
        <v>8</v>
      </c>
      <c r="C170" s="132">
        <v>-28.5</v>
      </c>
      <c r="E170" s="132">
        <v>20</v>
      </c>
      <c r="F170" s="35"/>
      <c r="G170" s="35"/>
      <c r="H170" s="132">
        <v>159.6</v>
      </c>
      <c r="J170" s="35"/>
      <c r="K170" s="35"/>
      <c r="L170" s="132" t="s">
        <v>165</v>
      </c>
      <c r="M170" s="35"/>
      <c r="N170" s="35"/>
      <c r="O170" s="132">
        <v>4.5</v>
      </c>
      <c r="P170" s="132"/>
      <c r="Q170" s="132" t="s">
        <v>229</v>
      </c>
      <c r="R170" s="36"/>
    </row>
    <row r="171" spans="1:18" ht="15.75" customHeight="1">
      <c r="A171" s="193">
        <v>42</v>
      </c>
      <c r="B171" s="186">
        <v>9</v>
      </c>
      <c r="C171" s="132">
        <v>-29.7</v>
      </c>
      <c r="E171" s="132">
        <v>17.600000000000001</v>
      </c>
      <c r="F171" s="35"/>
      <c r="G171" s="35"/>
      <c r="H171" s="132">
        <v>158.30000000000001</v>
      </c>
      <c r="J171" s="35"/>
      <c r="K171" s="35"/>
      <c r="L171" s="132" t="s">
        <v>165</v>
      </c>
      <c r="M171" s="35"/>
      <c r="N171" s="35"/>
      <c r="O171" s="132">
        <v>6.5</v>
      </c>
      <c r="P171" s="132"/>
      <c r="Q171" s="132" t="s">
        <v>229</v>
      </c>
      <c r="R171" s="36"/>
    </row>
    <row r="172" spans="1:18" ht="15.75" customHeight="1">
      <c r="A172" s="191">
        <v>42</v>
      </c>
      <c r="B172" s="188">
        <v>10</v>
      </c>
      <c r="C172" s="189">
        <v>-30.7</v>
      </c>
      <c r="D172" s="195"/>
      <c r="E172" s="189">
        <v>15.5</v>
      </c>
      <c r="F172" s="190"/>
      <c r="G172" s="190"/>
      <c r="H172" s="189">
        <v>156.80000000000001</v>
      </c>
      <c r="I172" s="195"/>
      <c r="J172" s="190"/>
      <c r="K172" s="190"/>
      <c r="L172" s="189" t="s">
        <v>165</v>
      </c>
      <c r="M172" s="190"/>
      <c r="N172" s="190"/>
      <c r="O172" s="189">
        <v>5.5</v>
      </c>
      <c r="P172" s="189"/>
      <c r="Q172" s="189" t="s">
        <v>229</v>
      </c>
      <c r="R172" s="38"/>
    </row>
    <row r="173" spans="1:18" ht="15.75" customHeight="1">
      <c r="A173" s="193">
        <v>43</v>
      </c>
      <c r="B173" s="186">
        <v>1</v>
      </c>
      <c r="C173" s="132">
        <v>3.8</v>
      </c>
      <c r="E173" s="132">
        <v>46.6</v>
      </c>
      <c r="G173" s="132">
        <v>63.2</v>
      </c>
      <c r="H173" s="35"/>
      <c r="I173" s="35"/>
      <c r="K173" s="35"/>
      <c r="L173" s="132" t="s">
        <v>165</v>
      </c>
      <c r="M173" s="132">
        <v>83.3</v>
      </c>
      <c r="O173" s="132">
        <v>72.8</v>
      </c>
      <c r="P173" s="132">
        <v>15.3</v>
      </c>
      <c r="Q173" s="132" t="s">
        <v>229</v>
      </c>
      <c r="R173" s="36"/>
    </row>
    <row r="174" spans="1:18" ht="15.75" customHeight="1">
      <c r="A174" s="193">
        <v>43</v>
      </c>
      <c r="B174" s="186">
        <v>2</v>
      </c>
      <c r="C174" s="132">
        <v>4.5999999999999996</v>
      </c>
      <c r="E174" s="132">
        <v>46.7</v>
      </c>
      <c r="G174" s="132">
        <v>62.9</v>
      </c>
      <c r="H174" s="35"/>
      <c r="I174" s="35"/>
      <c r="K174" s="35"/>
      <c r="L174" s="132" t="s">
        <v>165</v>
      </c>
      <c r="M174" s="132">
        <v>83.1</v>
      </c>
      <c r="O174" s="132">
        <v>30</v>
      </c>
      <c r="P174" s="132">
        <v>45</v>
      </c>
      <c r="Q174" s="132" t="s">
        <v>229</v>
      </c>
      <c r="R174" s="36"/>
    </row>
    <row r="175" spans="1:18" ht="15.75" customHeight="1">
      <c r="A175" s="193">
        <v>43</v>
      </c>
      <c r="B175" s="186">
        <v>3</v>
      </c>
      <c r="C175" s="132">
        <v>3.8</v>
      </c>
      <c r="E175" s="132">
        <v>41.6</v>
      </c>
      <c r="G175" s="132">
        <v>47.3</v>
      </c>
      <c r="H175" s="35"/>
      <c r="I175" s="35"/>
      <c r="K175" s="35"/>
      <c r="L175" s="132" t="s">
        <v>165</v>
      </c>
      <c r="M175" s="132">
        <v>83.7</v>
      </c>
      <c r="O175" s="132">
        <v>50</v>
      </c>
      <c r="P175" s="132">
        <v>27.9</v>
      </c>
      <c r="Q175" s="132" t="s">
        <v>229</v>
      </c>
      <c r="R175" s="36"/>
    </row>
    <row r="176" spans="1:18" ht="15.75" customHeight="1">
      <c r="A176" s="193">
        <v>43</v>
      </c>
      <c r="B176" s="186">
        <v>4</v>
      </c>
      <c r="C176" s="132">
        <v>4.7</v>
      </c>
      <c r="E176" s="132">
        <v>41.2</v>
      </c>
      <c r="G176" s="132">
        <v>62.2</v>
      </c>
      <c r="H176" s="35"/>
      <c r="I176" s="35"/>
      <c r="K176" s="35"/>
      <c r="L176" s="132" t="s">
        <v>165</v>
      </c>
      <c r="M176" s="132">
        <v>82.3</v>
      </c>
      <c r="O176" s="132">
        <v>15.7</v>
      </c>
      <c r="P176" s="132">
        <v>49.7</v>
      </c>
      <c r="Q176" s="132" t="s">
        <v>229</v>
      </c>
      <c r="R176" s="36"/>
    </row>
    <row r="177" spans="1:18" ht="15.75" customHeight="1">
      <c r="A177" s="193">
        <v>43</v>
      </c>
      <c r="B177" s="186">
        <v>5</v>
      </c>
      <c r="C177" s="132">
        <v>5.4</v>
      </c>
      <c r="E177" s="132"/>
      <c r="G177" s="132">
        <v>73.2</v>
      </c>
      <c r="H177" s="35"/>
      <c r="I177" s="35"/>
      <c r="J177" s="35"/>
      <c r="K177" s="35"/>
      <c r="L177" s="132" t="s">
        <v>165</v>
      </c>
      <c r="M177" s="132">
        <v>84.2</v>
      </c>
      <c r="O177" s="35"/>
      <c r="P177" s="132">
        <v>60.2</v>
      </c>
      <c r="Q177" s="132" t="s">
        <v>229</v>
      </c>
      <c r="R177" s="36"/>
    </row>
    <row r="178" spans="1:18" ht="15.75" customHeight="1">
      <c r="A178" s="191">
        <v>43</v>
      </c>
      <c r="B178" s="188">
        <v>6</v>
      </c>
      <c r="C178" s="189">
        <v>5.9</v>
      </c>
      <c r="D178" s="195"/>
      <c r="E178" s="189"/>
      <c r="F178" s="195"/>
      <c r="G178" s="189">
        <v>60</v>
      </c>
      <c r="H178" s="190"/>
      <c r="I178" s="190"/>
      <c r="J178" s="190"/>
      <c r="K178" s="190"/>
      <c r="L178" s="189" t="s">
        <v>165</v>
      </c>
      <c r="M178" s="189">
        <v>80.5</v>
      </c>
      <c r="N178" s="195"/>
      <c r="O178" s="190"/>
      <c r="P178" s="189">
        <v>45.9</v>
      </c>
      <c r="Q178" s="189" t="s">
        <v>229</v>
      </c>
      <c r="R178" s="38"/>
    </row>
    <row r="179" spans="1:18" ht="15.75" customHeight="1">
      <c r="A179" s="193">
        <v>44</v>
      </c>
      <c r="B179" s="186">
        <v>1</v>
      </c>
      <c r="C179" s="132">
        <v>-1.73</v>
      </c>
      <c r="E179" s="132">
        <v>78.650000000000006</v>
      </c>
      <c r="G179" s="35"/>
      <c r="H179" s="132">
        <v>170.53</v>
      </c>
      <c r="J179" s="132">
        <v>277.5</v>
      </c>
      <c r="K179" s="132">
        <v>296.25</v>
      </c>
      <c r="L179" s="132" t="s">
        <v>165</v>
      </c>
      <c r="M179" s="132">
        <v>95.81</v>
      </c>
      <c r="N179" s="35"/>
      <c r="O179" s="132">
        <v>79.069999999999993</v>
      </c>
      <c r="Q179" s="132" t="s">
        <v>229</v>
      </c>
      <c r="R179" s="194">
        <v>65.349999999999994</v>
      </c>
    </row>
    <row r="180" spans="1:18" ht="15.75" customHeight="1">
      <c r="A180" s="193">
        <v>44</v>
      </c>
      <c r="B180" s="186">
        <v>2</v>
      </c>
      <c r="C180" s="132">
        <v>-1.62</v>
      </c>
      <c r="E180" s="132">
        <v>82.26</v>
      </c>
      <c r="G180" s="35"/>
      <c r="H180" s="132">
        <v>167.8</v>
      </c>
      <c r="J180" s="132">
        <v>280.42</v>
      </c>
      <c r="K180" s="132">
        <v>301.67</v>
      </c>
      <c r="L180" s="132" t="s">
        <v>165</v>
      </c>
      <c r="M180" s="132">
        <v>91.61</v>
      </c>
      <c r="N180" s="35"/>
      <c r="O180" s="132">
        <v>78.63</v>
      </c>
      <c r="Q180" s="132" t="s">
        <v>229</v>
      </c>
      <c r="R180" s="194">
        <v>65.78</v>
      </c>
    </row>
    <row r="181" spans="1:18" ht="15.75" customHeight="1">
      <c r="A181" s="193">
        <v>44</v>
      </c>
      <c r="B181" s="186">
        <v>3</v>
      </c>
      <c r="C181" s="132">
        <v>-1.73</v>
      </c>
      <c r="E181" s="132">
        <v>76.400000000000006</v>
      </c>
      <c r="G181" s="35"/>
      <c r="H181" s="132">
        <v>168.81</v>
      </c>
      <c r="J181" s="132">
        <v>282.92</v>
      </c>
      <c r="K181" s="132">
        <v>301.67</v>
      </c>
      <c r="L181" s="132" t="s">
        <v>165</v>
      </c>
      <c r="M181" s="132">
        <v>95.09</v>
      </c>
      <c r="N181" s="35"/>
      <c r="O181" s="132">
        <v>71.17</v>
      </c>
      <c r="Q181" s="132" t="s">
        <v>229</v>
      </c>
      <c r="R181" s="194">
        <v>68.28</v>
      </c>
    </row>
    <row r="182" spans="1:18" ht="15.75" customHeight="1">
      <c r="A182" s="193">
        <v>44</v>
      </c>
      <c r="B182" s="186">
        <v>4</v>
      </c>
      <c r="C182" s="132">
        <v>-1.71</v>
      </c>
      <c r="E182" s="132">
        <v>75.59</v>
      </c>
      <c r="G182" s="35"/>
      <c r="H182" s="132">
        <v>169.06</v>
      </c>
      <c r="J182" s="132">
        <v>288.75</v>
      </c>
      <c r="K182" s="132">
        <v>305.83</v>
      </c>
      <c r="L182" s="132" t="s">
        <v>165</v>
      </c>
      <c r="M182" s="132">
        <v>84.45</v>
      </c>
      <c r="N182" s="35"/>
      <c r="O182" s="132">
        <v>63.59</v>
      </c>
      <c r="Q182" s="132" t="s">
        <v>229</v>
      </c>
      <c r="R182" s="194">
        <v>64.010000000000005</v>
      </c>
    </row>
    <row r="183" spans="1:18" ht="15.75" customHeight="1">
      <c r="A183" s="193">
        <v>44</v>
      </c>
      <c r="B183" s="186">
        <v>5</v>
      </c>
      <c r="C183" s="132">
        <v>-1.72</v>
      </c>
      <c r="E183" s="132">
        <v>73.069999999999993</v>
      </c>
      <c r="G183" s="35"/>
      <c r="H183" s="132">
        <v>168.16</v>
      </c>
      <c r="J183" s="132">
        <v>227.08</v>
      </c>
      <c r="K183" s="132">
        <v>255</v>
      </c>
      <c r="L183" s="132" t="s">
        <v>165</v>
      </c>
      <c r="M183" s="132">
        <v>91.92</v>
      </c>
      <c r="N183" s="35"/>
      <c r="O183" s="132">
        <v>73.180000000000007</v>
      </c>
      <c r="Q183" s="132" t="s">
        <v>229</v>
      </c>
      <c r="R183" s="194">
        <v>63.34</v>
      </c>
    </row>
    <row r="184" spans="1:18" ht="15.75" customHeight="1">
      <c r="A184" s="193">
        <v>44</v>
      </c>
      <c r="B184" s="186">
        <v>6</v>
      </c>
      <c r="C184" s="132">
        <v>-1.73</v>
      </c>
      <c r="E184" s="132">
        <v>77.069999999999993</v>
      </c>
      <c r="G184" s="35"/>
      <c r="H184" s="132">
        <v>166.31</v>
      </c>
      <c r="J184" s="132">
        <v>256.25</v>
      </c>
      <c r="K184" s="132">
        <v>276.67</v>
      </c>
      <c r="L184" s="132" t="s">
        <v>165</v>
      </c>
      <c r="M184" s="132">
        <v>90.95</v>
      </c>
      <c r="N184" s="35"/>
      <c r="O184" s="132">
        <v>75.790000000000006</v>
      </c>
      <c r="Q184" s="132" t="s">
        <v>229</v>
      </c>
      <c r="R184" s="194">
        <v>62.85</v>
      </c>
    </row>
    <row r="185" spans="1:18" ht="15.75" customHeight="1">
      <c r="A185" s="191">
        <v>44</v>
      </c>
      <c r="B185" s="188">
        <v>7</v>
      </c>
      <c r="C185" s="189">
        <v>-1.77</v>
      </c>
      <c r="E185" s="189">
        <v>76.900000000000006</v>
      </c>
      <c r="G185" s="190"/>
      <c r="H185" s="189">
        <v>167.4</v>
      </c>
      <c r="I185" s="195"/>
      <c r="J185" s="189">
        <v>274.17</v>
      </c>
      <c r="K185" s="189">
        <v>300.83</v>
      </c>
      <c r="L185" s="189" t="s">
        <v>165</v>
      </c>
      <c r="M185" s="189">
        <v>93.66</v>
      </c>
      <c r="N185" s="190"/>
      <c r="O185" s="189">
        <v>78.87</v>
      </c>
      <c r="Q185" s="189" t="s">
        <v>229</v>
      </c>
      <c r="R185" s="196">
        <v>67.25</v>
      </c>
    </row>
    <row r="186" spans="1:18" ht="15.75" customHeight="1">
      <c r="A186" s="219">
        <v>45</v>
      </c>
      <c r="B186" s="184">
        <v>1</v>
      </c>
      <c r="C186" s="201"/>
      <c r="D186" s="201"/>
      <c r="E186" s="201"/>
      <c r="F186" s="201"/>
      <c r="G186" s="201"/>
      <c r="H186" s="174">
        <v>172.05</v>
      </c>
      <c r="J186" s="174">
        <v>249.6</v>
      </c>
      <c r="K186" s="174">
        <v>269.8</v>
      </c>
      <c r="L186" s="132" t="s">
        <v>165</v>
      </c>
      <c r="M186" s="174">
        <v>89.7</v>
      </c>
      <c r="O186" s="176"/>
      <c r="P186" s="176"/>
      <c r="Q186" s="132" t="s">
        <v>229</v>
      </c>
      <c r="R186" s="197">
        <v>61.44</v>
      </c>
    </row>
    <row r="187" spans="1:18" ht="15.75" customHeight="1">
      <c r="A187" s="193">
        <v>45</v>
      </c>
      <c r="B187" s="186">
        <v>2</v>
      </c>
      <c r="H187" s="132">
        <v>150.18</v>
      </c>
      <c r="J187" s="132">
        <v>266.60000000000002</v>
      </c>
      <c r="K187" s="132">
        <v>315.89999999999998</v>
      </c>
      <c r="L187" s="132" t="s">
        <v>165</v>
      </c>
      <c r="M187" s="132">
        <v>73.5</v>
      </c>
      <c r="O187" s="35"/>
      <c r="P187" s="35"/>
      <c r="Q187" s="132" t="s">
        <v>229</v>
      </c>
      <c r="R187" s="194">
        <v>50.34</v>
      </c>
    </row>
    <row r="188" spans="1:18" ht="15.75" customHeight="1">
      <c r="A188" s="191">
        <v>45</v>
      </c>
      <c r="B188" s="188">
        <v>3</v>
      </c>
      <c r="C188" s="195"/>
      <c r="D188" s="195"/>
      <c r="E188" s="195"/>
      <c r="F188" s="195"/>
      <c r="G188" s="195"/>
      <c r="H188" s="189">
        <v>101.93</v>
      </c>
      <c r="I188" s="195"/>
      <c r="J188" s="189">
        <v>252.3</v>
      </c>
      <c r="K188" s="189">
        <v>303.60000000000002</v>
      </c>
      <c r="L188" s="189" t="s">
        <v>165</v>
      </c>
      <c r="M188" s="189">
        <v>75.8</v>
      </c>
      <c r="N188" s="195"/>
      <c r="O188" s="190"/>
      <c r="P188" s="190"/>
      <c r="Q188" s="189" t="s">
        <v>229</v>
      </c>
      <c r="R188" s="196">
        <v>51.92</v>
      </c>
    </row>
    <row r="189" spans="1:18" ht="15.75" customHeight="1">
      <c r="A189" s="193">
        <v>46</v>
      </c>
      <c r="B189" s="186">
        <v>1</v>
      </c>
      <c r="C189" s="35"/>
      <c r="D189" s="35"/>
      <c r="E189" s="132">
        <v>74.599999999999994</v>
      </c>
      <c r="G189" s="35"/>
      <c r="H189" s="132">
        <v>173.1</v>
      </c>
      <c r="I189" s="132">
        <v>175.7</v>
      </c>
      <c r="J189" s="35"/>
      <c r="K189" s="35"/>
      <c r="L189" s="132" t="s">
        <v>165</v>
      </c>
      <c r="M189" s="35"/>
      <c r="N189" s="35"/>
      <c r="O189" s="35"/>
      <c r="P189" s="35"/>
      <c r="Q189" s="35"/>
      <c r="R189" s="194">
        <v>65.400000000000006</v>
      </c>
    </row>
    <row r="190" spans="1:18" ht="15.75" customHeight="1">
      <c r="A190" s="193">
        <v>46</v>
      </c>
      <c r="B190" s="186">
        <v>2</v>
      </c>
      <c r="C190" s="35"/>
      <c r="D190" s="35"/>
      <c r="E190" s="132">
        <v>81.7</v>
      </c>
      <c r="G190" s="35"/>
      <c r="H190" s="132">
        <v>171.1</v>
      </c>
      <c r="I190" s="132">
        <v>178.1</v>
      </c>
      <c r="J190" s="35"/>
      <c r="K190" s="35"/>
      <c r="L190" s="132" t="s">
        <v>165</v>
      </c>
      <c r="M190" s="35"/>
      <c r="N190" s="35"/>
      <c r="O190" s="35"/>
      <c r="P190" s="35"/>
      <c r="Q190" s="35"/>
      <c r="R190" s="194">
        <v>64.3</v>
      </c>
    </row>
    <row r="191" spans="1:18" ht="15.75" customHeight="1">
      <c r="A191" s="193">
        <v>46</v>
      </c>
      <c r="B191" s="186">
        <v>3</v>
      </c>
      <c r="C191" s="35"/>
      <c r="D191" s="35"/>
      <c r="E191" s="132">
        <v>83.7</v>
      </c>
      <c r="G191" s="35"/>
      <c r="H191" s="132">
        <v>170.7</v>
      </c>
      <c r="I191" s="132">
        <v>177.5</v>
      </c>
      <c r="J191" s="35"/>
      <c r="K191" s="35"/>
      <c r="L191" s="132" t="s">
        <v>165</v>
      </c>
      <c r="M191" s="35"/>
      <c r="N191" s="35"/>
      <c r="O191" s="35"/>
      <c r="P191" s="35"/>
      <c r="Q191" s="35"/>
      <c r="R191" s="194">
        <v>67.2</v>
      </c>
    </row>
    <row r="192" spans="1:18" ht="15.75" customHeight="1">
      <c r="A192" s="193">
        <v>46</v>
      </c>
      <c r="B192" s="186">
        <v>4</v>
      </c>
      <c r="C192" s="35"/>
      <c r="D192" s="35"/>
      <c r="E192" s="132">
        <v>82.5</v>
      </c>
      <c r="G192" s="35"/>
      <c r="H192" s="132">
        <v>169.4</v>
      </c>
      <c r="I192" s="132">
        <v>175.1</v>
      </c>
      <c r="J192" s="35"/>
      <c r="K192" s="35"/>
      <c r="L192" s="132" t="s">
        <v>165</v>
      </c>
      <c r="M192" s="35"/>
      <c r="N192" s="35"/>
      <c r="O192" s="35"/>
      <c r="P192" s="35"/>
      <c r="Q192" s="35"/>
      <c r="R192" s="194">
        <v>69</v>
      </c>
    </row>
    <row r="193" spans="1:18" ht="15.75" customHeight="1">
      <c r="A193" s="193">
        <v>46</v>
      </c>
      <c r="B193" s="186">
        <v>5</v>
      </c>
      <c r="C193" s="35"/>
      <c r="D193" s="35"/>
      <c r="E193" s="132">
        <v>83.4</v>
      </c>
      <c r="G193" s="35"/>
      <c r="H193" s="132">
        <v>170.1</v>
      </c>
      <c r="I193" s="132">
        <v>177</v>
      </c>
      <c r="J193" s="35"/>
      <c r="K193" s="35"/>
      <c r="L193" s="132" t="s">
        <v>165</v>
      </c>
      <c r="M193" s="35"/>
      <c r="N193" s="35"/>
      <c r="O193" s="35"/>
      <c r="P193" s="35"/>
      <c r="Q193" s="35"/>
      <c r="R193" s="194">
        <v>69.5</v>
      </c>
    </row>
    <row r="194" spans="1:18" ht="15.75" customHeight="1">
      <c r="A194" s="191">
        <v>46</v>
      </c>
      <c r="B194" s="188">
        <v>6</v>
      </c>
      <c r="C194" s="190"/>
      <c r="D194" s="190"/>
      <c r="E194" s="189">
        <v>82.9</v>
      </c>
      <c r="F194" s="195"/>
      <c r="G194" s="190"/>
      <c r="H194" s="189">
        <v>169.7</v>
      </c>
      <c r="I194" s="189">
        <v>176.2</v>
      </c>
      <c r="J194" s="190"/>
      <c r="K194" s="190"/>
      <c r="L194" s="189" t="s">
        <v>165</v>
      </c>
      <c r="M194" s="190"/>
      <c r="N194" s="190"/>
      <c r="O194" s="190"/>
      <c r="P194" s="190"/>
      <c r="Q194" s="190"/>
      <c r="R194" s="196">
        <v>67.5</v>
      </c>
    </row>
    <row r="195" spans="1:18" ht="15.75" customHeight="1">
      <c r="A195" s="193">
        <v>47</v>
      </c>
      <c r="B195" s="186">
        <v>1</v>
      </c>
      <c r="C195" s="132">
        <v>-13.4</v>
      </c>
      <c r="D195" s="35"/>
      <c r="E195" s="132">
        <v>85.7</v>
      </c>
      <c r="F195" s="35"/>
      <c r="G195" s="35"/>
      <c r="H195" s="132">
        <v>161.30000000000001</v>
      </c>
      <c r="I195" s="132">
        <v>170.3</v>
      </c>
      <c r="J195" s="132">
        <v>215.7</v>
      </c>
      <c r="K195" s="132">
        <v>279.10000000000002</v>
      </c>
      <c r="L195" s="132" t="s">
        <v>165</v>
      </c>
      <c r="M195" s="132">
        <v>86</v>
      </c>
      <c r="N195" s="132">
        <v>88.7</v>
      </c>
      <c r="O195" s="132">
        <v>73.900000000000006</v>
      </c>
      <c r="P195" s="35"/>
      <c r="Q195" s="132" t="s">
        <v>229</v>
      </c>
      <c r="R195" s="194">
        <v>58.9</v>
      </c>
    </row>
    <row r="196" spans="1:18" ht="15.75" customHeight="1">
      <c r="A196" s="193">
        <v>47</v>
      </c>
      <c r="B196" s="186">
        <v>2</v>
      </c>
      <c r="C196" s="132">
        <v>-9</v>
      </c>
      <c r="D196" s="35"/>
      <c r="E196" s="132">
        <v>86.8</v>
      </c>
      <c r="F196" s="35"/>
      <c r="G196" s="35"/>
      <c r="H196" s="132">
        <v>161.1</v>
      </c>
      <c r="I196" s="132">
        <v>170.3</v>
      </c>
      <c r="J196" s="132">
        <v>219.3</v>
      </c>
      <c r="K196" s="132">
        <v>283.3</v>
      </c>
      <c r="L196" s="132" t="s">
        <v>165</v>
      </c>
      <c r="M196" s="132">
        <v>87.9</v>
      </c>
      <c r="N196" s="132">
        <v>86.3</v>
      </c>
      <c r="O196" s="132">
        <v>70.3</v>
      </c>
      <c r="P196" s="35"/>
      <c r="Q196" s="132" t="s">
        <v>229</v>
      </c>
      <c r="R196" s="194">
        <v>61.4</v>
      </c>
    </row>
    <row r="197" spans="1:18" ht="15.75" customHeight="1">
      <c r="A197" s="193">
        <v>47</v>
      </c>
      <c r="B197" s="186">
        <v>3</v>
      </c>
      <c r="C197" s="132">
        <v>-10.1</v>
      </c>
      <c r="D197" s="35"/>
      <c r="E197" s="132">
        <v>87.5</v>
      </c>
      <c r="F197" s="35"/>
      <c r="G197" s="35"/>
      <c r="H197" s="132">
        <v>161.80000000000001</v>
      </c>
      <c r="I197" s="132">
        <v>170.4</v>
      </c>
      <c r="J197" s="132">
        <v>226.5</v>
      </c>
      <c r="K197" s="132">
        <v>287.2</v>
      </c>
      <c r="L197" s="132" t="s">
        <v>165</v>
      </c>
      <c r="M197" s="132">
        <v>83.7</v>
      </c>
      <c r="N197" s="132">
        <v>85.4</v>
      </c>
      <c r="O197" s="132">
        <v>68.5</v>
      </c>
      <c r="P197" s="35"/>
      <c r="Q197" s="132" t="s">
        <v>229</v>
      </c>
      <c r="R197" s="194">
        <v>60.4</v>
      </c>
    </row>
    <row r="198" spans="1:18" ht="15.75" customHeight="1">
      <c r="A198" s="193">
        <v>47</v>
      </c>
      <c r="B198" s="186">
        <v>4</v>
      </c>
      <c r="C198" s="132">
        <v>-6.3</v>
      </c>
      <c r="D198" s="35"/>
      <c r="E198" s="132">
        <v>83.8</v>
      </c>
      <c r="F198" s="35"/>
      <c r="G198" s="35"/>
      <c r="H198" s="132">
        <v>161.19999999999999</v>
      </c>
      <c r="I198" s="132">
        <v>170</v>
      </c>
      <c r="J198" s="132">
        <v>229.3</v>
      </c>
      <c r="K198" s="132">
        <v>288.89999999999998</v>
      </c>
      <c r="L198" s="132" t="s">
        <v>165</v>
      </c>
      <c r="M198" s="132">
        <v>84.5</v>
      </c>
      <c r="N198" s="132">
        <v>79.900000000000006</v>
      </c>
      <c r="O198" s="132">
        <v>61.9</v>
      </c>
      <c r="P198" s="35"/>
      <c r="Q198" s="132" t="s">
        <v>229</v>
      </c>
      <c r="R198" s="194">
        <v>64.3</v>
      </c>
    </row>
    <row r="199" spans="1:18" ht="15.75" customHeight="1">
      <c r="A199" s="191">
        <v>47</v>
      </c>
      <c r="B199" s="188">
        <v>5</v>
      </c>
      <c r="C199" s="189">
        <v>-21</v>
      </c>
      <c r="D199" s="190"/>
      <c r="E199" s="189">
        <v>77</v>
      </c>
      <c r="F199" s="190"/>
      <c r="G199" s="190"/>
      <c r="H199" s="189">
        <v>155.5</v>
      </c>
      <c r="I199" s="189">
        <v>166.7</v>
      </c>
      <c r="J199" s="189">
        <v>203</v>
      </c>
      <c r="K199" s="189">
        <v>287.39999999999998</v>
      </c>
      <c r="L199" s="189" t="s">
        <v>165</v>
      </c>
      <c r="M199" s="189">
        <v>79</v>
      </c>
      <c r="N199" s="189">
        <v>73.7</v>
      </c>
      <c r="O199" s="189">
        <v>57.5</v>
      </c>
      <c r="P199" s="190"/>
      <c r="Q199" s="189" t="s">
        <v>229</v>
      </c>
      <c r="R199" s="196">
        <v>63.6</v>
      </c>
    </row>
    <row r="200" spans="1:18" ht="15.75" customHeight="1">
      <c r="A200" s="193">
        <v>48</v>
      </c>
      <c r="B200" s="186">
        <v>1</v>
      </c>
      <c r="C200" s="132">
        <v>0.9</v>
      </c>
      <c r="E200" s="35"/>
      <c r="F200" s="35"/>
      <c r="G200" s="35"/>
      <c r="H200" s="132">
        <v>175</v>
      </c>
      <c r="J200" s="35"/>
      <c r="K200" s="35"/>
      <c r="L200" s="132" t="s">
        <v>165</v>
      </c>
      <c r="M200" s="35"/>
      <c r="N200" s="35"/>
      <c r="O200" s="35"/>
      <c r="P200" s="35"/>
      <c r="Q200" s="35"/>
      <c r="R200" s="36"/>
    </row>
    <row r="201" spans="1:18" ht="15.75" customHeight="1">
      <c r="A201" s="193">
        <v>48</v>
      </c>
      <c r="B201" s="186">
        <v>2</v>
      </c>
      <c r="C201" s="132">
        <v>-2.2000000000000002</v>
      </c>
      <c r="E201" s="35"/>
      <c r="F201" s="35"/>
      <c r="G201" s="35"/>
      <c r="H201" s="132">
        <v>154.19999999999999</v>
      </c>
      <c r="J201" s="35"/>
      <c r="K201" s="35"/>
      <c r="L201" s="132" t="s">
        <v>165</v>
      </c>
      <c r="M201" s="35"/>
      <c r="N201" s="35"/>
      <c r="O201" s="35"/>
      <c r="P201" s="35"/>
      <c r="Q201" s="35"/>
      <c r="R201" s="36"/>
    </row>
    <row r="202" spans="1:18" ht="15.75" customHeight="1">
      <c r="A202" s="193">
        <v>48</v>
      </c>
      <c r="B202" s="186">
        <v>3</v>
      </c>
      <c r="C202" s="132">
        <v>-4.3</v>
      </c>
      <c r="E202" s="35"/>
      <c r="F202" s="35"/>
      <c r="G202" s="35"/>
      <c r="H202" s="132">
        <v>148.80000000000001</v>
      </c>
      <c r="J202" s="35"/>
      <c r="K202" s="35"/>
      <c r="L202" s="132" t="s">
        <v>165</v>
      </c>
      <c r="M202" s="35"/>
      <c r="N202" s="35"/>
      <c r="O202" s="35"/>
      <c r="P202" s="35"/>
      <c r="Q202" s="35"/>
      <c r="R202" s="36"/>
    </row>
    <row r="203" spans="1:18" ht="15.75" customHeight="1">
      <c r="A203" s="193">
        <v>48</v>
      </c>
      <c r="B203" s="186">
        <v>4</v>
      </c>
      <c r="C203" s="132">
        <v>2.5</v>
      </c>
      <c r="E203" s="35"/>
      <c r="F203" s="35"/>
      <c r="G203" s="35"/>
      <c r="H203" s="132">
        <v>180</v>
      </c>
      <c r="J203" s="35"/>
      <c r="K203" s="35"/>
      <c r="L203" s="132" t="s">
        <v>165</v>
      </c>
      <c r="M203" s="35"/>
      <c r="N203" s="35"/>
      <c r="O203" s="35"/>
      <c r="P203" s="35"/>
      <c r="Q203" s="35"/>
      <c r="R203" s="36"/>
    </row>
    <row r="204" spans="1:18" ht="15.75" customHeight="1">
      <c r="A204" s="193">
        <v>48</v>
      </c>
      <c r="B204" s="186">
        <v>5</v>
      </c>
      <c r="C204" s="132">
        <v>-4</v>
      </c>
      <c r="E204" s="35"/>
      <c r="F204" s="35"/>
      <c r="G204" s="35"/>
      <c r="H204" s="132">
        <v>150</v>
      </c>
      <c r="J204" s="35"/>
      <c r="K204" s="35"/>
      <c r="L204" s="132" t="s">
        <v>165</v>
      </c>
      <c r="M204" s="35"/>
      <c r="N204" s="35"/>
      <c r="O204" s="35"/>
      <c r="P204" s="35"/>
      <c r="Q204" s="35"/>
      <c r="R204" s="36"/>
    </row>
    <row r="205" spans="1:18" ht="15.75" customHeight="1">
      <c r="A205" s="191">
        <v>48</v>
      </c>
      <c r="B205" s="188">
        <v>6</v>
      </c>
      <c r="C205" s="189">
        <v>-6</v>
      </c>
      <c r="D205" s="195"/>
      <c r="E205" s="190"/>
      <c r="F205" s="190"/>
      <c r="G205" s="190"/>
      <c r="H205" s="189">
        <v>137</v>
      </c>
      <c r="I205" s="195"/>
      <c r="J205" s="190"/>
      <c r="K205" s="190"/>
      <c r="L205" s="189" t="s">
        <v>165</v>
      </c>
      <c r="M205" s="190"/>
      <c r="N205" s="190"/>
      <c r="O205" s="190"/>
      <c r="P205" s="190"/>
      <c r="Q205" s="190"/>
      <c r="R205" s="38"/>
    </row>
    <row r="206" spans="1:18" ht="15.75" customHeight="1">
      <c r="A206" s="193">
        <v>49</v>
      </c>
      <c r="B206" s="186">
        <v>1</v>
      </c>
      <c r="C206" s="132">
        <v>-6.6</v>
      </c>
      <c r="E206" s="132">
        <v>28.5</v>
      </c>
      <c r="G206" s="35"/>
      <c r="H206" s="132">
        <v>161</v>
      </c>
      <c r="J206" s="35"/>
      <c r="K206" s="35"/>
      <c r="L206" s="132" t="s">
        <v>165</v>
      </c>
      <c r="M206" s="132">
        <v>69</v>
      </c>
      <c r="O206" s="35"/>
      <c r="P206" s="35"/>
      <c r="Q206" s="132" t="s">
        <v>229</v>
      </c>
      <c r="R206" s="36"/>
    </row>
    <row r="207" spans="1:18" ht="15.75" customHeight="1">
      <c r="A207" s="193">
        <v>49</v>
      </c>
      <c r="B207" s="186">
        <v>2</v>
      </c>
      <c r="C207" s="132">
        <v>-3.4</v>
      </c>
      <c r="E207" s="132">
        <v>41.7</v>
      </c>
      <c r="G207" s="35"/>
      <c r="H207" s="132">
        <v>161.6</v>
      </c>
      <c r="J207" s="35"/>
      <c r="K207" s="35"/>
      <c r="L207" s="132" t="s">
        <v>165</v>
      </c>
      <c r="M207" s="132">
        <v>64.5</v>
      </c>
      <c r="O207" s="35"/>
      <c r="P207" s="35"/>
      <c r="Q207" s="132" t="s">
        <v>229</v>
      </c>
      <c r="R207" s="36"/>
    </row>
    <row r="208" spans="1:18" ht="15.75" customHeight="1">
      <c r="A208" s="193">
        <v>49</v>
      </c>
      <c r="B208" s="186">
        <v>3</v>
      </c>
      <c r="C208" s="132">
        <v>-19</v>
      </c>
      <c r="E208" s="132">
        <v>39</v>
      </c>
      <c r="G208" s="35"/>
      <c r="H208" s="132">
        <v>159.5</v>
      </c>
      <c r="J208" s="35"/>
      <c r="K208" s="35"/>
      <c r="L208" s="132" t="s">
        <v>165</v>
      </c>
      <c r="M208" s="132">
        <v>61.6</v>
      </c>
      <c r="O208" s="35"/>
      <c r="P208" s="35"/>
      <c r="Q208" s="132" t="s">
        <v>229</v>
      </c>
      <c r="R208" s="36"/>
    </row>
    <row r="209" spans="1:18" ht="15.75" customHeight="1">
      <c r="A209" s="193">
        <v>49</v>
      </c>
      <c r="B209" s="186">
        <v>4</v>
      </c>
      <c r="C209" s="132">
        <v>-28.5</v>
      </c>
      <c r="E209" s="132">
        <v>17.3</v>
      </c>
      <c r="G209" s="35"/>
      <c r="H209" s="132">
        <v>152.69999999999999</v>
      </c>
      <c r="J209" s="35"/>
      <c r="K209" s="35"/>
      <c r="L209" s="132" t="s">
        <v>165</v>
      </c>
      <c r="M209" s="132">
        <v>59.1</v>
      </c>
      <c r="O209" s="35"/>
      <c r="P209" s="35"/>
      <c r="Q209" s="132" t="s">
        <v>229</v>
      </c>
      <c r="R209" s="36"/>
    </row>
    <row r="210" spans="1:18" ht="15.75" customHeight="1">
      <c r="A210" s="193">
        <v>49</v>
      </c>
      <c r="B210" s="186">
        <v>5</v>
      </c>
      <c r="C210" s="132">
        <v>-30</v>
      </c>
      <c r="E210" s="132">
        <v>22.9</v>
      </c>
      <c r="G210" s="35"/>
      <c r="H210" s="132">
        <v>144.4</v>
      </c>
      <c r="J210" s="35"/>
      <c r="K210" s="35"/>
      <c r="L210" s="132" t="s">
        <v>165</v>
      </c>
      <c r="M210" s="132">
        <v>53</v>
      </c>
      <c r="O210" s="35"/>
      <c r="P210" s="35"/>
      <c r="Q210" s="132" t="s">
        <v>229</v>
      </c>
      <c r="R210" s="36"/>
    </row>
    <row r="211" spans="1:18" ht="15.75" customHeight="1">
      <c r="A211" s="173">
        <v>50</v>
      </c>
      <c r="B211" s="184">
        <v>1</v>
      </c>
      <c r="C211" s="176"/>
      <c r="D211" s="176"/>
      <c r="E211" s="176"/>
      <c r="F211" s="176"/>
      <c r="G211" s="176"/>
      <c r="H211" s="174">
        <v>170</v>
      </c>
      <c r="I211" s="176"/>
      <c r="J211" s="176"/>
      <c r="K211" s="176"/>
      <c r="L211" s="174" t="s">
        <v>165</v>
      </c>
      <c r="M211" s="176"/>
      <c r="N211" s="176"/>
      <c r="O211" s="176"/>
      <c r="P211" s="176"/>
      <c r="Q211" s="176"/>
      <c r="R211" s="197"/>
    </row>
    <row r="212" spans="1:18" ht="15.75" customHeight="1">
      <c r="A212" s="185">
        <v>50</v>
      </c>
      <c r="B212" s="186">
        <v>2</v>
      </c>
      <c r="C212" s="35"/>
      <c r="D212" s="35"/>
      <c r="E212" s="35"/>
      <c r="F212" s="35"/>
      <c r="G212" s="35"/>
      <c r="H212" s="132">
        <v>170</v>
      </c>
      <c r="I212" s="35"/>
      <c r="J212" s="35"/>
      <c r="K212" s="35"/>
      <c r="L212" s="132" t="s">
        <v>165</v>
      </c>
      <c r="M212" s="35"/>
      <c r="N212" s="35"/>
      <c r="O212" s="35"/>
      <c r="P212" s="35"/>
      <c r="Q212" s="35"/>
      <c r="R212" s="194">
        <v>60.9</v>
      </c>
    </row>
    <row r="213" spans="1:18" ht="15.75" customHeight="1">
      <c r="A213" s="185">
        <v>50</v>
      </c>
      <c r="B213" s="186">
        <v>3</v>
      </c>
      <c r="C213" s="35"/>
      <c r="D213" s="35"/>
      <c r="E213" s="35"/>
      <c r="F213" s="35"/>
      <c r="G213" s="35"/>
      <c r="H213" s="132">
        <v>170</v>
      </c>
      <c r="I213" s="35"/>
      <c r="J213" s="35"/>
      <c r="K213" s="35"/>
      <c r="L213" s="132" t="s">
        <v>165</v>
      </c>
      <c r="M213" s="35"/>
      <c r="N213" s="35"/>
      <c r="O213" s="35"/>
      <c r="P213" s="35"/>
      <c r="Q213" s="35"/>
      <c r="R213" s="194">
        <v>63.7</v>
      </c>
    </row>
    <row r="214" spans="1:18" ht="15.75" customHeight="1">
      <c r="A214" s="185">
        <v>50</v>
      </c>
      <c r="B214" s="186">
        <v>4</v>
      </c>
      <c r="C214" s="35"/>
      <c r="D214" s="35"/>
      <c r="E214" s="35"/>
      <c r="F214" s="35"/>
      <c r="G214" s="35"/>
      <c r="H214" s="132">
        <v>170</v>
      </c>
      <c r="I214" s="35"/>
      <c r="J214" s="35"/>
      <c r="K214" s="35"/>
      <c r="L214" s="132" t="s">
        <v>165</v>
      </c>
      <c r="M214" s="35"/>
      <c r="N214" s="35"/>
      <c r="O214" s="35"/>
      <c r="P214" s="35"/>
      <c r="Q214" s="35"/>
      <c r="R214" s="194">
        <v>60.8</v>
      </c>
    </row>
    <row r="215" spans="1:18" ht="15.75" customHeight="1">
      <c r="A215" s="187">
        <v>50</v>
      </c>
      <c r="B215" s="188">
        <v>5</v>
      </c>
      <c r="C215" s="190"/>
      <c r="D215" s="190"/>
      <c r="E215" s="190"/>
      <c r="F215" s="190"/>
      <c r="G215" s="190"/>
      <c r="H215" s="189">
        <v>170</v>
      </c>
      <c r="I215" s="190"/>
      <c r="J215" s="190"/>
      <c r="K215" s="190"/>
      <c r="L215" s="189" t="s">
        <v>165</v>
      </c>
      <c r="M215" s="190"/>
      <c r="N215" s="190"/>
      <c r="O215" s="190"/>
      <c r="P215" s="190"/>
      <c r="Q215" s="190"/>
      <c r="R215" s="196">
        <v>60.6</v>
      </c>
    </row>
    <row r="216" spans="1:18" ht="15.75" customHeight="1">
      <c r="A216" s="185">
        <v>51</v>
      </c>
      <c r="B216" s="186">
        <v>1</v>
      </c>
      <c r="C216" s="132">
        <v>3.2</v>
      </c>
      <c r="D216" s="35"/>
      <c r="E216" s="35"/>
      <c r="F216" s="35"/>
      <c r="G216" s="35"/>
      <c r="H216" s="132">
        <v>150</v>
      </c>
      <c r="I216" s="35"/>
      <c r="J216" s="132">
        <v>235</v>
      </c>
      <c r="K216" s="35"/>
      <c r="L216" s="132" t="s">
        <v>165</v>
      </c>
      <c r="M216" s="132">
        <v>86.9</v>
      </c>
      <c r="N216" s="35"/>
      <c r="O216" s="35"/>
      <c r="P216" s="35"/>
      <c r="Q216" s="132" t="s">
        <v>229</v>
      </c>
      <c r="R216" s="194">
        <v>59.5</v>
      </c>
    </row>
    <row r="217" spans="1:18" ht="15.75" customHeight="1">
      <c r="A217" s="185">
        <v>51</v>
      </c>
      <c r="B217" s="186">
        <v>2</v>
      </c>
      <c r="C217" s="132">
        <v>9.3000000000000007</v>
      </c>
      <c r="D217" s="35"/>
      <c r="E217" s="35"/>
      <c r="F217" s="35"/>
      <c r="G217" s="35"/>
      <c r="H217" s="132">
        <v>152</v>
      </c>
      <c r="I217" s="35"/>
      <c r="J217" s="132">
        <v>249</v>
      </c>
      <c r="K217" s="35"/>
      <c r="L217" s="132" t="s">
        <v>165</v>
      </c>
      <c r="M217" s="132">
        <v>84.5</v>
      </c>
      <c r="N217" s="35"/>
      <c r="O217" s="35"/>
      <c r="P217" s="35"/>
      <c r="Q217" s="132" t="s">
        <v>229</v>
      </c>
      <c r="R217" s="194">
        <v>58.4</v>
      </c>
    </row>
    <row r="218" spans="1:18" ht="15.75" customHeight="1">
      <c r="A218" s="185">
        <v>51</v>
      </c>
      <c r="B218" s="186">
        <v>3</v>
      </c>
      <c r="C218" s="132">
        <v>2.1</v>
      </c>
      <c r="D218" s="35"/>
      <c r="E218" s="35"/>
      <c r="F218" s="35"/>
      <c r="G218" s="35"/>
      <c r="H218" s="132">
        <v>156</v>
      </c>
      <c r="I218" s="35"/>
      <c r="J218" s="132">
        <v>235</v>
      </c>
      <c r="K218" s="35"/>
      <c r="L218" s="132" t="s">
        <v>165</v>
      </c>
      <c r="M218" s="132">
        <v>85.8</v>
      </c>
      <c r="N218" s="35"/>
      <c r="O218" s="35"/>
      <c r="P218" s="35"/>
      <c r="Q218" s="132" t="s">
        <v>229</v>
      </c>
      <c r="R218" s="194">
        <v>46.2</v>
      </c>
    </row>
    <row r="219" spans="1:18" ht="15.75" customHeight="1">
      <c r="A219" s="185">
        <v>51</v>
      </c>
      <c r="B219" s="186">
        <v>4</v>
      </c>
      <c r="C219" s="132">
        <v>1.9</v>
      </c>
      <c r="D219" s="35"/>
      <c r="E219" s="35"/>
      <c r="F219" s="35"/>
      <c r="G219" s="35"/>
      <c r="H219" s="132">
        <v>152</v>
      </c>
      <c r="I219" s="35"/>
      <c r="J219" s="132">
        <v>238</v>
      </c>
      <c r="K219" s="35"/>
      <c r="L219" s="132" t="s">
        <v>165</v>
      </c>
      <c r="M219" s="132">
        <v>81.2</v>
      </c>
      <c r="N219" s="35"/>
      <c r="O219" s="35"/>
      <c r="P219" s="35"/>
      <c r="Q219" s="132" t="s">
        <v>229</v>
      </c>
      <c r="R219" s="194">
        <v>49.3</v>
      </c>
    </row>
    <row r="220" spans="1:18" ht="15.75" customHeight="1">
      <c r="A220" s="185">
        <v>51</v>
      </c>
      <c r="B220" s="186">
        <v>5</v>
      </c>
      <c r="C220" s="132">
        <v>-2.2999999999999998</v>
      </c>
      <c r="D220" s="35"/>
      <c r="E220" s="35"/>
      <c r="F220" s="35"/>
      <c r="G220" s="35"/>
      <c r="H220" s="132">
        <v>146</v>
      </c>
      <c r="I220" s="35"/>
      <c r="J220" s="132">
        <v>241</v>
      </c>
      <c r="K220" s="35"/>
      <c r="L220" s="132" t="s">
        <v>165</v>
      </c>
      <c r="M220" s="132">
        <v>71.400000000000006</v>
      </c>
      <c r="N220" s="35"/>
      <c r="O220" s="35"/>
      <c r="P220" s="35"/>
      <c r="Q220" s="132" t="s">
        <v>229</v>
      </c>
      <c r="R220" s="194">
        <v>33.299999999999997</v>
      </c>
    </row>
    <row r="221" spans="1:18" ht="15.75" customHeight="1">
      <c r="A221" s="187">
        <v>51</v>
      </c>
      <c r="B221" s="188">
        <v>6</v>
      </c>
      <c r="C221" s="189">
        <v>-1</v>
      </c>
      <c r="D221" s="190"/>
      <c r="E221" s="190"/>
      <c r="F221" s="190"/>
      <c r="G221" s="190"/>
      <c r="H221" s="189">
        <v>147</v>
      </c>
      <c r="I221" s="190"/>
      <c r="J221" s="189">
        <v>230</v>
      </c>
      <c r="K221" s="190"/>
      <c r="L221" s="189" t="s">
        <v>165</v>
      </c>
      <c r="M221" s="189">
        <v>69.7</v>
      </c>
      <c r="N221" s="190"/>
      <c r="O221" s="190"/>
      <c r="P221" s="190"/>
      <c r="Q221" s="189" t="s">
        <v>229</v>
      </c>
      <c r="R221" s="196">
        <v>27.1</v>
      </c>
    </row>
    <row r="222" spans="1:18" ht="15.75" customHeight="1">
      <c r="A222" s="173">
        <v>52</v>
      </c>
      <c r="B222" s="184">
        <v>1</v>
      </c>
      <c r="C222" s="174">
        <v>-1</v>
      </c>
      <c r="D222" s="176"/>
      <c r="E222" s="174">
        <v>75</v>
      </c>
      <c r="F222" s="176"/>
      <c r="G222" s="176"/>
      <c r="H222" s="174">
        <v>169</v>
      </c>
      <c r="I222" s="176"/>
      <c r="J222" s="176"/>
      <c r="K222" s="176"/>
      <c r="L222" s="174" t="s">
        <v>165</v>
      </c>
      <c r="M222" s="174">
        <v>41.9</v>
      </c>
      <c r="N222" s="176"/>
      <c r="O222" s="176"/>
      <c r="P222" s="176"/>
      <c r="Q222" s="174" t="s">
        <v>229</v>
      </c>
      <c r="R222" s="31"/>
    </row>
    <row r="223" spans="1:18" ht="15.75" customHeight="1">
      <c r="A223" s="185">
        <v>52</v>
      </c>
      <c r="B223" s="186">
        <v>2</v>
      </c>
      <c r="C223" s="132">
        <v>-3</v>
      </c>
      <c r="D223" s="35"/>
      <c r="E223" s="132">
        <v>80</v>
      </c>
      <c r="F223" s="35"/>
      <c r="G223" s="35"/>
      <c r="H223" s="132">
        <v>161</v>
      </c>
      <c r="I223" s="35"/>
      <c r="J223" s="35"/>
      <c r="K223" s="35"/>
      <c r="L223" s="132" t="s">
        <v>165</v>
      </c>
      <c r="M223" s="132">
        <v>35.299999999999997</v>
      </c>
      <c r="N223" s="35"/>
      <c r="O223" s="35"/>
      <c r="P223" s="35"/>
      <c r="Q223" s="132" t="s">
        <v>229</v>
      </c>
      <c r="R223" s="36"/>
    </row>
    <row r="224" spans="1:18" ht="15.75" customHeight="1">
      <c r="A224" s="185">
        <v>52</v>
      </c>
      <c r="B224" s="186">
        <v>3</v>
      </c>
      <c r="C224" s="132">
        <v>-3</v>
      </c>
      <c r="D224" s="35"/>
      <c r="E224" s="132">
        <v>70</v>
      </c>
      <c r="F224" s="35"/>
      <c r="G224" s="35"/>
      <c r="H224" s="132">
        <v>174</v>
      </c>
      <c r="I224" s="35"/>
      <c r="J224" s="35"/>
      <c r="K224" s="35"/>
      <c r="L224" s="132" t="s">
        <v>165</v>
      </c>
      <c r="M224" s="132">
        <v>68.7</v>
      </c>
      <c r="N224" s="35"/>
      <c r="O224" s="35"/>
      <c r="P224" s="35"/>
      <c r="Q224" s="132" t="s">
        <v>229</v>
      </c>
      <c r="R224" s="36"/>
    </row>
    <row r="225" spans="1:18" ht="15.75" customHeight="1">
      <c r="A225" s="187">
        <v>52</v>
      </c>
      <c r="B225" s="188">
        <v>4</v>
      </c>
      <c r="C225" s="190"/>
      <c r="D225" s="190"/>
      <c r="E225" s="189">
        <v>60</v>
      </c>
      <c r="F225" s="190"/>
      <c r="G225" s="190"/>
      <c r="H225" s="189">
        <v>172</v>
      </c>
      <c r="I225" s="190"/>
      <c r="J225" s="190"/>
      <c r="K225" s="190"/>
      <c r="L225" s="189" t="s">
        <v>165</v>
      </c>
      <c r="M225" s="189">
        <v>63.3</v>
      </c>
      <c r="N225" s="190"/>
      <c r="O225" s="190"/>
      <c r="P225" s="190"/>
      <c r="Q225" s="189" t="s">
        <v>229</v>
      </c>
      <c r="R225" s="38"/>
    </row>
    <row r="226" spans="1:18" ht="15.75" customHeight="1">
      <c r="A226" s="193">
        <v>53</v>
      </c>
      <c r="B226" s="186">
        <v>1</v>
      </c>
      <c r="C226" s="35"/>
      <c r="D226" s="35"/>
      <c r="E226" s="35"/>
      <c r="F226" s="35"/>
      <c r="G226" s="35"/>
      <c r="H226" s="132">
        <v>124</v>
      </c>
      <c r="I226" s="132">
        <v>156</v>
      </c>
      <c r="J226" s="132">
        <v>274</v>
      </c>
      <c r="K226" s="132">
        <v>452</v>
      </c>
      <c r="L226" s="132" t="s">
        <v>165</v>
      </c>
      <c r="M226" s="35"/>
      <c r="N226" s="35"/>
      <c r="O226" s="35"/>
      <c r="P226" s="35"/>
      <c r="Q226" s="35"/>
      <c r="R226" s="36"/>
    </row>
    <row r="227" spans="1:18" ht="15.75" customHeight="1">
      <c r="A227" s="193">
        <v>53</v>
      </c>
      <c r="B227" s="186">
        <v>2</v>
      </c>
      <c r="C227" s="35"/>
      <c r="D227" s="35"/>
      <c r="E227" s="35"/>
      <c r="F227" s="35"/>
      <c r="G227" s="35"/>
      <c r="H227" s="132">
        <v>129</v>
      </c>
      <c r="I227" s="132">
        <v>163</v>
      </c>
      <c r="J227" s="132">
        <v>266</v>
      </c>
      <c r="K227" s="132">
        <v>449</v>
      </c>
      <c r="L227" s="132" t="s">
        <v>165</v>
      </c>
      <c r="M227" s="35"/>
      <c r="N227" s="35"/>
      <c r="O227" s="35"/>
      <c r="P227" s="35"/>
      <c r="Q227" s="132"/>
      <c r="R227" s="36"/>
    </row>
    <row r="228" spans="1:18" ht="15.75" customHeight="1">
      <c r="A228" s="193">
        <v>53</v>
      </c>
      <c r="B228" s="186">
        <v>3</v>
      </c>
      <c r="C228" s="35"/>
      <c r="D228" s="35"/>
      <c r="E228" s="35"/>
      <c r="F228" s="35"/>
      <c r="G228" s="35"/>
      <c r="H228" s="132">
        <v>122</v>
      </c>
      <c r="I228" s="132">
        <v>152</v>
      </c>
      <c r="J228" s="132">
        <v>279</v>
      </c>
      <c r="K228" s="132">
        <v>455</v>
      </c>
      <c r="L228" s="132" t="s">
        <v>165</v>
      </c>
      <c r="M228" s="35"/>
      <c r="N228" s="35"/>
      <c r="O228" s="35"/>
      <c r="P228" s="35"/>
      <c r="Q228" s="132"/>
      <c r="R228" s="36"/>
    </row>
    <row r="229" spans="1:18" ht="15.75" customHeight="1">
      <c r="A229" s="193">
        <v>53</v>
      </c>
      <c r="B229" s="186">
        <v>4</v>
      </c>
      <c r="C229" s="35"/>
      <c r="D229" s="35"/>
      <c r="E229" s="35"/>
      <c r="F229" s="35"/>
      <c r="G229" s="35"/>
      <c r="H229" s="132">
        <v>126</v>
      </c>
      <c r="I229" s="132">
        <v>159</v>
      </c>
      <c r="J229" s="132">
        <v>261</v>
      </c>
      <c r="K229" s="132">
        <v>441</v>
      </c>
      <c r="L229" s="132" t="s">
        <v>165</v>
      </c>
      <c r="M229" s="35"/>
      <c r="N229" s="35"/>
      <c r="O229" s="35"/>
      <c r="P229" s="35"/>
      <c r="Q229" s="132"/>
      <c r="R229" s="36"/>
    </row>
    <row r="230" spans="1:18" ht="15.75" customHeight="1">
      <c r="A230" s="191">
        <v>53</v>
      </c>
      <c r="B230" s="188">
        <v>5</v>
      </c>
      <c r="C230" s="190"/>
      <c r="D230" s="190"/>
      <c r="E230" s="190"/>
      <c r="F230" s="190"/>
      <c r="G230" s="190"/>
      <c r="H230" s="190"/>
      <c r="I230" s="189">
        <v>172</v>
      </c>
      <c r="J230" s="189">
        <v>287</v>
      </c>
      <c r="K230" s="190"/>
      <c r="L230" s="189" t="s">
        <v>165</v>
      </c>
      <c r="M230" s="190"/>
      <c r="N230" s="190"/>
      <c r="O230" s="190"/>
      <c r="P230" s="190"/>
      <c r="Q230" s="132"/>
      <c r="R230" s="38"/>
    </row>
    <row r="231" spans="1:18" ht="15.75" customHeight="1">
      <c r="A231" s="193">
        <v>54</v>
      </c>
      <c r="B231" s="186">
        <v>1</v>
      </c>
      <c r="G231" s="35"/>
      <c r="H231" s="132">
        <v>174.8</v>
      </c>
      <c r="I231" s="35"/>
      <c r="J231" s="132">
        <v>246.7</v>
      </c>
      <c r="K231" s="132">
        <v>382</v>
      </c>
      <c r="L231" s="132" t="s">
        <v>165</v>
      </c>
      <c r="M231" s="132">
        <v>75.8</v>
      </c>
      <c r="N231" s="35"/>
      <c r="O231" s="35"/>
      <c r="P231" s="35"/>
      <c r="Q231" s="174" t="s">
        <v>229</v>
      </c>
      <c r="R231" s="194">
        <v>51.9</v>
      </c>
    </row>
    <row r="232" spans="1:18" ht="15.75" customHeight="1">
      <c r="A232" s="193">
        <v>54</v>
      </c>
      <c r="B232" s="186">
        <v>2</v>
      </c>
      <c r="G232" s="35"/>
      <c r="H232" s="132">
        <v>172.5</v>
      </c>
      <c r="I232" s="35"/>
      <c r="J232" s="132">
        <v>272.3</v>
      </c>
      <c r="K232" s="132">
        <v>410</v>
      </c>
      <c r="L232" s="132" t="s">
        <v>165</v>
      </c>
      <c r="M232" s="132">
        <v>65.3</v>
      </c>
      <c r="N232" s="35"/>
      <c r="O232" s="35"/>
      <c r="P232" s="35"/>
      <c r="Q232" s="132" t="s">
        <v>229</v>
      </c>
      <c r="R232" s="194">
        <v>47</v>
      </c>
    </row>
    <row r="233" spans="1:18" ht="15.75" customHeight="1">
      <c r="A233" s="193">
        <v>54</v>
      </c>
      <c r="B233" s="186">
        <v>3</v>
      </c>
      <c r="G233" s="35"/>
      <c r="H233" s="132">
        <v>171.2</v>
      </c>
      <c r="I233" s="35"/>
      <c r="J233" s="132">
        <v>274.7</v>
      </c>
      <c r="K233" s="132">
        <v>410</v>
      </c>
      <c r="L233" s="132" t="s">
        <v>165</v>
      </c>
      <c r="M233" s="132">
        <v>61.4</v>
      </c>
      <c r="N233" s="35"/>
      <c r="O233" s="35"/>
      <c r="P233" s="35"/>
      <c r="Q233" s="132" t="s">
        <v>229</v>
      </c>
      <c r="R233" s="194">
        <v>46.3</v>
      </c>
    </row>
    <row r="234" spans="1:18" ht="15.75" customHeight="1">
      <c r="A234" s="193">
        <v>54</v>
      </c>
      <c r="B234" s="186">
        <v>4</v>
      </c>
      <c r="G234" s="35"/>
      <c r="H234" s="132">
        <v>172.7</v>
      </c>
      <c r="I234" s="35"/>
      <c r="J234" s="132">
        <v>277</v>
      </c>
      <c r="K234" s="132">
        <v>412.3</v>
      </c>
      <c r="L234" s="132" t="s">
        <v>165</v>
      </c>
      <c r="M234" s="132">
        <v>66.099999999999994</v>
      </c>
      <c r="N234" s="35"/>
      <c r="O234" s="35"/>
      <c r="P234" s="35"/>
      <c r="Q234" s="132" t="s">
        <v>229</v>
      </c>
      <c r="R234" s="194">
        <v>47.5</v>
      </c>
    </row>
    <row r="235" spans="1:18" ht="15.75" customHeight="1">
      <c r="A235" s="193">
        <v>54</v>
      </c>
      <c r="B235" s="186">
        <v>5</v>
      </c>
      <c r="G235" s="35"/>
      <c r="H235" s="132">
        <v>172.2</v>
      </c>
      <c r="I235" s="35"/>
      <c r="J235" s="132">
        <v>272.3</v>
      </c>
      <c r="K235" s="132">
        <v>410</v>
      </c>
      <c r="L235" s="132" t="s">
        <v>165</v>
      </c>
      <c r="M235" s="132">
        <v>63.3</v>
      </c>
      <c r="N235" s="35"/>
      <c r="O235" s="35"/>
      <c r="P235" s="35"/>
      <c r="Q235" s="132" t="s">
        <v>229</v>
      </c>
      <c r="R235" s="194">
        <v>47.7</v>
      </c>
    </row>
    <row r="236" spans="1:18" ht="15.75" customHeight="1">
      <c r="A236" s="193">
        <v>54</v>
      </c>
      <c r="B236" s="186">
        <v>6</v>
      </c>
      <c r="G236" s="35"/>
      <c r="H236" s="132"/>
      <c r="I236" s="35"/>
      <c r="J236" s="132"/>
      <c r="K236" s="132"/>
      <c r="L236" s="132"/>
      <c r="M236" s="132"/>
      <c r="N236" s="35"/>
      <c r="O236" s="35"/>
      <c r="P236" s="35"/>
      <c r="Q236" s="132"/>
      <c r="R236" s="194"/>
    </row>
    <row r="237" spans="1:18" ht="15.75" customHeight="1">
      <c r="A237" s="193">
        <v>54</v>
      </c>
      <c r="B237" s="186">
        <v>7</v>
      </c>
      <c r="G237" s="35"/>
      <c r="H237" s="132"/>
      <c r="I237" s="35"/>
      <c r="J237" s="132"/>
      <c r="K237" s="132"/>
      <c r="L237" s="132"/>
      <c r="M237" s="132"/>
      <c r="N237" s="35"/>
      <c r="O237" s="35"/>
      <c r="P237" s="35"/>
      <c r="Q237" s="132"/>
      <c r="R237" s="194"/>
    </row>
    <row r="238" spans="1:18" ht="15.75" customHeight="1">
      <c r="A238" s="193">
        <v>54</v>
      </c>
      <c r="B238" s="186">
        <v>8</v>
      </c>
      <c r="G238" s="35"/>
      <c r="H238" s="132"/>
      <c r="I238" s="35"/>
      <c r="J238" s="132"/>
      <c r="K238" s="132"/>
      <c r="L238" s="132"/>
      <c r="M238" s="132"/>
      <c r="N238" s="35"/>
      <c r="O238" s="35"/>
      <c r="P238" s="35"/>
      <c r="Q238" s="132"/>
      <c r="R238" s="194"/>
    </row>
    <row r="239" spans="1:18" ht="15.75" customHeight="1">
      <c r="A239" s="191">
        <v>54</v>
      </c>
      <c r="B239" s="188">
        <v>9</v>
      </c>
      <c r="C239" s="195"/>
      <c r="D239" s="195"/>
      <c r="E239" s="195"/>
      <c r="F239" s="195"/>
      <c r="G239" s="190"/>
      <c r="H239" s="189"/>
      <c r="I239" s="190"/>
      <c r="J239" s="189"/>
      <c r="K239" s="189"/>
      <c r="L239" s="189"/>
      <c r="M239" s="189"/>
      <c r="N239" s="190"/>
      <c r="O239" s="190"/>
      <c r="P239" s="190"/>
      <c r="Q239" s="189"/>
      <c r="R239" s="196"/>
    </row>
    <row r="240" spans="1:18" ht="15.75" customHeight="1">
      <c r="A240" s="193">
        <v>55</v>
      </c>
      <c r="B240" s="186">
        <v>1</v>
      </c>
      <c r="C240" s="35"/>
      <c r="D240" s="35"/>
      <c r="E240" s="35"/>
      <c r="F240" s="35"/>
      <c r="G240" s="35"/>
      <c r="H240" s="132">
        <v>152.6</v>
      </c>
      <c r="I240" s="35"/>
      <c r="J240" s="132">
        <v>235</v>
      </c>
      <c r="K240" s="132">
        <v>284</v>
      </c>
      <c r="L240" s="132" t="s">
        <v>165</v>
      </c>
      <c r="M240" s="132">
        <v>64.599999999999994</v>
      </c>
      <c r="N240" s="35"/>
      <c r="O240" s="35"/>
      <c r="P240" s="35"/>
      <c r="Q240" s="132" t="s">
        <v>229</v>
      </c>
      <c r="R240" s="36"/>
    </row>
    <row r="241" spans="1:18" ht="15.75" customHeight="1">
      <c r="A241" s="193">
        <v>55</v>
      </c>
      <c r="B241" s="186">
        <v>2</v>
      </c>
      <c r="C241" s="35"/>
      <c r="D241" s="35"/>
      <c r="E241" s="35"/>
      <c r="F241" s="35"/>
      <c r="G241" s="35"/>
      <c r="H241" s="132">
        <v>150.6</v>
      </c>
      <c r="I241" s="35"/>
      <c r="J241" s="132">
        <v>158</v>
      </c>
      <c r="K241" s="132">
        <v>282</v>
      </c>
      <c r="L241" s="132" t="s">
        <v>165</v>
      </c>
      <c r="M241" s="132">
        <v>71.7</v>
      </c>
      <c r="N241" s="35"/>
      <c r="O241" s="35"/>
      <c r="P241" s="35"/>
      <c r="Q241" s="132" t="s">
        <v>229</v>
      </c>
      <c r="R241" s="36"/>
    </row>
    <row r="242" spans="1:18" ht="15.75" customHeight="1">
      <c r="A242" s="193">
        <v>55</v>
      </c>
      <c r="B242" s="186">
        <v>3</v>
      </c>
      <c r="C242" s="35"/>
      <c r="D242" s="35"/>
      <c r="E242" s="35"/>
      <c r="F242" s="35"/>
      <c r="G242" s="35"/>
      <c r="H242" s="132">
        <v>153.4</v>
      </c>
      <c r="I242" s="35"/>
      <c r="J242" s="132">
        <v>163</v>
      </c>
      <c r="K242" s="132">
        <v>283</v>
      </c>
      <c r="L242" s="132" t="s">
        <v>165</v>
      </c>
      <c r="M242" s="132">
        <v>77.7</v>
      </c>
      <c r="N242" s="35"/>
      <c r="O242" s="35"/>
      <c r="P242" s="35"/>
      <c r="Q242" s="132" t="s">
        <v>229</v>
      </c>
      <c r="R242" s="36"/>
    </row>
    <row r="243" spans="1:18" ht="15.75" customHeight="1">
      <c r="A243" s="193">
        <v>55</v>
      </c>
      <c r="B243" s="186">
        <v>4</v>
      </c>
      <c r="C243" s="35"/>
      <c r="D243" s="35"/>
      <c r="E243" s="35"/>
      <c r="F243" s="35"/>
      <c r="G243" s="35"/>
      <c r="H243" s="132">
        <v>150.19999999999999</v>
      </c>
      <c r="I243" s="35"/>
      <c r="J243" s="132">
        <v>227</v>
      </c>
      <c r="K243" s="132">
        <v>280</v>
      </c>
      <c r="L243" s="132" t="s">
        <v>165</v>
      </c>
      <c r="M243" s="132">
        <v>74.5</v>
      </c>
      <c r="N243" s="35"/>
      <c r="O243" s="35"/>
      <c r="P243" s="35"/>
      <c r="Q243" s="132" t="s">
        <v>229</v>
      </c>
      <c r="R243" s="36"/>
    </row>
    <row r="244" spans="1:18" ht="15.75" customHeight="1">
      <c r="A244" s="193">
        <v>55</v>
      </c>
      <c r="B244" s="186">
        <v>5</v>
      </c>
      <c r="C244" s="35"/>
      <c r="D244" s="35"/>
      <c r="E244" s="35"/>
      <c r="F244" s="35"/>
      <c r="G244" s="35"/>
      <c r="H244" s="35"/>
      <c r="I244" s="35"/>
      <c r="J244" s="35"/>
      <c r="K244" s="35"/>
      <c r="L244" s="132" t="s">
        <v>165</v>
      </c>
      <c r="M244" s="35"/>
      <c r="N244" s="35"/>
      <c r="O244" s="35"/>
      <c r="P244" s="35"/>
      <c r="Q244" s="132"/>
      <c r="R244" s="36"/>
    </row>
    <row r="245" spans="1:18" ht="15.75" customHeight="1">
      <c r="A245" s="193">
        <v>55</v>
      </c>
      <c r="B245" s="186">
        <v>6</v>
      </c>
      <c r="C245" s="35"/>
      <c r="D245" s="35"/>
      <c r="E245" s="35"/>
      <c r="F245" s="35"/>
      <c r="G245" s="35"/>
      <c r="H245" s="35"/>
      <c r="I245" s="35"/>
      <c r="J245" s="35"/>
      <c r="K245" s="35"/>
      <c r="L245" s="132" t="s">
        <v>165</v>
      </c>
      <c r="M245" s="35"/>
      <c r="N245" s="35"/>
      <c r="O245" s="35"/>
      <c r="P245" s="35"/>
      <c r="Q245" s="132"/>
      <c r="R245" s="36"/>
    </row>
    <row r="246" spans="1:18" ht="15.75" customHeight="1">
      <c r="A246" s="191">
        <v>55</v>
      </c>
      <c r="B246" s="188">
        <v>7</v>
      </c>
      <c r="C246" s="190"/>
      <c r="D246" s="190"/>
      <c r="E246" s="190"/>
      <c r="F246" s="190"/>
      <c r="G246" s="190"/>
      <c r="H246" s="190"/>
      <c r="I246" s="190"/>
      <c r="J246" s="190"/>
      <c r="K246" s="190"/>
      <c r="L246" s="189" t="s">
        <v>165</v>
      </c>
      <c r="M246" s="190"/>
      <c r="N246" s="190"/>
      <c r="O246" s="190"/>
      <c r="P246" s="190"/>
      <c r="Q246" s="189"/>
      <c r="R246" s="38"/>
    </row>
    <row r="247" spans="1:18" ht="15.75" customHeight="1">
      <c r="A247" s="193">
        <v>56</v>
      </c>
      <c r="B247" s="186">
        <v>1</v>
      </c>
      <c r="C247" s="35"/>
      <c r="D247" s="35"/>
      <c r="E247" s="35"/>
      <c r="F247" s="35"/>
      <c r="G247" s="35"/>
      <c r="H247" s="132">
        <v>174.7</v>
      </c>
      <c r="I247" s="35"/>
      <c r="J247" s="35"/>
      <c r="K247" s="35"/>
      <c r="L247" s="132" t="s">
        <v>165</v>
      </c>
      <c r="M247" s="132">
        <v>45.1</v>
      </c>
      <c r="N247" s="35"/>
      <c r="O247" s="35"/>
      <c r="P247" s="35"/>
      <c r="Q247" s="132" t="s">
        <v>229</v>
      </c>
      <c r="R247" s="194">
        <v>30.9</v>
      </c>
    </row>
    <row r="248" spans="1:18" ht="15.75" customHeight="1">
      <c r="A248" s="193">
        <v>56</v>
      </c>
      <c r="B248" s="186">
        <v>2</v>
      </c>
      <c r="C248" s="35"/>
      <c r="D248" s="35"/>
      <c r="E248" s="35"/>
      <c r="F248" s="35"/>
      <c r="G248" s="35"/>
      <c r="H248" s="132">
        <v>174.7</v>
      </c>
      <c r="I248" s="35"/>
      <c r="J248" s="35"/>
      <c r="K248" s="35"/>
      <c r="L248" s="132" t="s">
        <v>165</v>
      </c>
      <c r="M248" s="132">
        <v>39.1</v>
      </c>
      <c r="N248" s="35"/>
      <c r="O248" s="35"/>
      <c r="P248" s="35"/>
      <c r="Q248" s="132" t="s">
        <v>229</v>
      </c>
      <c r="R248" s="194">
        <v>29.7</v>
      </c>
    </row>
    <row r="249" spans="1:18" ht="15.75" customHeight="1">
      <c r="A249" s="193">
        <v>56</v>
      </c>
      <c r="B249" s="186">
        <v>3</v>
      </c>
      <c r="C249" s="35"/>
      <c r="D249" s="35"/>
      <c r="E249" s="35"/>
      <c r="F249" s="35"/>
      <c r="G249" s="35"/>
      <c r="H249" s="132">
        <v>174.4</v>
      </c>
      <c r="I249" s="35"/>
      <c r="J249" s="35"/>
      <c r="K249" s="35"/>
      <c r="L249" s="132" t="s">
        <v>165</v>
      </c>
      <c r="M249" s="132">
        <v>34.799999999999997</v>
      </c>
      <c r="N249" s="35"/>
      <c r="O249" s="35"/>
      <c r="P249" s="35"/>
      <c r="Q249" s="132" t="s">
        <v>229</v>
      </c>
      <c r="R249" s="194">
        <v>29.8</v>
      </c>
    </row>
    <row r="250" spans="1:18" ht="15.75" customHeight="1">
      <c r="A250" s="193">
        <v>56</v>
      </c>
      <c r="B250" s="186">
        <v>4</v>
      </c>
      <c r="C250" s="35"/>
      <c r="D250" s="35"/>
      <c r="E250" s="35"/>
      <c r="F250" s="35"/>
      <c r="G250" s="35"/>
      <c r="H250" s="132">
        <v>174.6</v>
      </c>
      <c r="I250" s="35"/>
      <c r="J250" s="35"/>
      <c r="K250" s="35"/>
      <c r="L250" s="132" t="s">
        <v>165</v>
      </c>
      <c r="M250" s="132">
        <v>41.6</v>
      </c>
      <c r="N250" s="35"/>
      <c r="O250" s="35"/>
      <c r="P250" s="35"/>
      <c r="Q250" s="132" t="s">
        <v>229</v>
      </c>
      <c r="R250" s="194">
        <v>31.6</v>
      </c>
    </row>
    <row r="251" spans="1:18" ht="15.75" customHeight="1">
      <c r="A251" s="193">
        <v>56</v>
      </c>
      <c r="B251" s="186">
        <v>5</v>
      </c>
      <c r="C251" s="35"/>
      <c r="D251" s="35"/>
      <c r="E251" s="35"/>
      <c r="F251" s="35"/>
      <c r="G251" s="35"/>
      <c r="H251" s="132">
        <v>175.1</v>
      </c>
      <c r="I251" s="35"/>
      <c r="J251" s="35"/>
      <c r="K251" s="35"/>
      <c r="L251" s="132" t="s">
        <v>165</v>
      </c>
      <c r="M251" s="132">
        <v>38.200000000000003</v>
      </c>
      <c r="N251" s="35"/>
      <c r="O251" s="35"/>
      <c r="P251" s="35"/>
      <c r="Q251" s="132" t="s">
        <v>229</v>
      </c>
      <c r="R251" s="194">
        <v>32.700000000000003</v>
      </c>
    </row>
    <row r="252" spans="1:18" ht="15.75" customHeight="1">
      <c r="A252" s="193">
        <v>56</v>
      </c>
      <c r="B252" s="186">
        <v>6</v>
      </c>
      <c r="C252" s="35"/>
      <c r="D252" s="35"/>
      <c r="E252" s="35"/>
      <c r="F252" s="35"/>
      <c r="G252" s="35"/>
      <c r="H252" s="132">
        <v>175.2</v>
      </c>
      <c r="I252" s="35"/>
      <c r="J252" s="35"/>
      <c r="K252" s="35"/>
      <c r="L252" s="132" t="s">
        <v>165</v>
      </c>
      <c r="M252" s="132">
        <v>42.8</v>
      </c>
      <c r="N252" s="35"/>
      <c r="O252" s="35"/>
      <c r="P252" s="35"/>
      <c r="Q252" s="132" t="s">
        <v>229</v>
      </c>
      <c r="R252" s="194">
        <v>32.5</v>
      </c>
    </row>
    <row r="253" spans="1:18" ht="15.75" customHeight="1">
      <c r="A253" s="191">
        <v>56</v>
      </c>
      <c r="B253" s="188">
        <v>7</v>
      </c>
      <c r="C253" s="190"/>
      <c r="D253" s="190"/>
      <c r="E253" s="190"/>
      <c r="F253" s="190"/>
      <c r="G253" s="190"/>
      <c r="H253" s="189">
        <v>174.9</v>
      </c>
      <c r="I253" s="190"/>
      <c r="J253" s="190"/>
      <c r="K253" s="190"/>
      <c r="L253" s="189" t="s">
        <v>165</v>
      </c>
      <c r="M253" s="189">
        <v>38.700000000000003</v>
      </c>
      <c r="N253" s="190"/>
      <c r="O253" s="190"/>
      <c r="P253" s="190"/>
      <c r="Q253" s="189" t="s">
        <v>229</v>
      </c>
      <c r="R253" s="196">
        <v>33.200000000000003</v>
      </c>
    </row>
    <row r="254" spans="1:18" ht="15.75" customHeight="1">
      <c r="A254" s="193">
        <v>57</v>
      </c>
      <c r="B254" s="186">
        <v>1</v>
      </c>
      <c r="D254" s="35"/>
      <c r="E254" s="132">
        <v>117.4</v>
      </c>
      <c r="F254" s="35"/>
      <c r="G254" s="35"/>
      <c r="H254" s="132">
        <v>171.5</v>
      </c>
      <c r="I254" s="35"/>
      <c r="J254" s="132">
        <v>266.5</v>
      </c>
      <c r="K254" s="132">
        <v>278.7</v>
      </c>
      <c r="L254" s="132" t="s">
        <v>165</v>
      </c>
      <c r="M254" s="132">
        <v>83.8</v>
      </c>
      <c r="N254" s="35"/>
      <c r="Q254" s="132" t="s">
        <v>229</v>
      </c>
      <c r="R254" s="6"/>
    </row>
    <row r="255" spans="1:18" ht="15.75" customHeight="1">
      <c r="A255" s="193">
        <v>57</v>
      </c>
      <c r="B255" s="186">
        <v>2</v>
      </c>
      <c r="D255" s="35"/>
      <c r="E255" s="132">
        <v>118.6</v>
      </c>
      <c r="F255" s="35"/>
      <c r="G255" s="35"/>
      <c r="H255" s="132">
        <v>171.4</v>
      </c>
      <c r="I255" s="35"/>
      <c r="J255" s="132">
        <v>241.5</v>
      </c>
      <c r="K255" s="132">
        <v>259.8</v>
      </c>
      <c r="L255" s="132" t="s">
        <v>165</v>
      </c>
      <c r="M255" s="132">
        <v>74.099999999999994</v>
      </c>
      <c r="N255" s="35"/>
      <c r="Q255" s="132" t="s">
        <v>229</v>
      </c>
      <c r="R255" s="6"/>
    </row>
    <row r="256" spans="1:18" ht="15.75" customHeight="1">
      <c r="A256" s="193">
        <v>57</v>
      </c>
      <c r="B256" s="186">
        <v>3</v>
      </c>
      <c r="D256" s="35"/>
      <c r="E256" s="132">
        <v>119.1</v>
      </c>
      <c r="F256" s="35"/>
      <c r="G256" s="35"/>
      <c r="H256" s="132">
        <v>171.9</v>
      </c>
      <c r="I256" s="35"/>
      <c r="J256" s="132">
        <v>232.7</v>
      </c>
      <c r="K256" s="132">
        <v>258.3</v>
      </c>
      <c r="L256" s="132" t="s">
        <v>165</v>
      </c>
      <c r="M256" s="132">
        <v>70.900000000000006</v>
      </c>
      <c r="N256" s="35"/>
      <c r="Q256" s="132" t="s">
        <v>229</v>
      </c>
      <c r="R256" s="6"/>
    </row>
    <row r="257" spans="1:18" ht="15.75" customHeight="1">
      <c r="A257" s="193">
        <v>57</v>
      </c>
      <c r="B257" s="186">
        <v>4</v>
      </c>
      <c r="D257" s="35"/>
      <c r="E257" s="132">
        <v>118.5</v>
      </c>
      <c r="F257" s="35"/>
      <c r="G257" s="35"/>
      <c r="H257" s="132">
        <v>171.2</v>
      </c>
      <c r="I257" s="35"/>
      <c r="J257" s="132">
        <v>234.2</v>
      </c>
      <c r="K257" s="132">
        <v>258.60000000000002</v>
      </c>
      <c r="L257" s="132" t="s">
        <v>165</v>
      </c>
      <c r="M257" s="132">
        <v>71.7</v>
      </c>
      <c r="N257" s="35"/>
      <c r="Q257" s="132" t="s">
        <v>229</v>
      </c>
      <c r="R257" s="6"/>
    </row>
    <row r="258" spans="1:18" ht="15.75" customHeight="1">
      <c r="A258" s="193">
        <v>57</v>
      </c>
      <c r="B258" s="186">
        <v>5</v>
      </c>
      <c r="D258" s="35"/>
      <c r="E258" s="132">
        <v>117.5</v>
      </c>
      <c r="F258" s="35"/>
      <c r="G258" s="35"/>
      <c r="H258" s="132">
        <v>170.3</v>
      </c>
      <c r="I258" s="35"/>
      <c r="J258" s="132">
        <v>240</v>
      </c>
      <c r="K258" s="132">
        <v>265.3</v>
      </c>
      <c r="L258" s="132" t="s">
        <v>165</v>
      </c>
      <c r="M258" s="132">
        <v>77.400000000000006</v>
      </c>
      <c r="N258" s="35"/>
      <c r="Q258" s="132" t="s">
        <v>229</v>
      </c>
      <c r="R258" s="6"/>
    </row>
    <row r="259" spans="1:18" ht="15.75" customHeight="1">
      <c r="A259" s="193">
        <v>57</v>
      </c>
      <c r="B259" s="186">
        <v>6</v>
      </c>
      <c r="D259" s="35"/>
      <c r="E259" s="132">
        <v>118.6</v>
      </c>
      <c r="F259" s="35"/>
      <c r="G259" s="35"/>
      <c r="H259" s="132">
        <v>172.7</v>
      </c>
      <c r="I259" s="35"/>
      <c r="J259" s="132">
        <v>240.6</v>
      </c>
      <c r="K259" s="132">
        <v>265.3</v>
      </c>
      <c r="L259" s="132" t="s">
        <v>165</v>
      </c>
      <c r="M259" s="132">
        <v>70.099999999999994</v>
      </c>
      <c r="N259" s="35"/>
      <c r="Q259" s="132" t="s">
        <v>229</v>
      </c>
      <c r="R259" s="6"/>
    </row>
    <row r="260" spans="1:18" ht="15.75" customHeight="1">
      <c r="A260" s="191">
        <v>57</v>
      </c>
      <c r="B260" s="188">
        <v>7</v>
      </c>
      <c r="C260" s="195"/>
      <c r="D260" s="190"/>
      <c r="E260" s="189">
        <v>119.6</v>
      </c>
      <c r="F260" s="190"/>
      <c r="G260" s="190"/>
      <c r="H260" s="189">
        <v>171.1</v>
      </c>
      <c r="I260" s="190"/>
      <c r="J260" s="189">
        <v>237</v>
      </c>
      <c r="K260" s="189">
        <v>261.60000000000002</v>
      </c>
      <c r="L260" s="189" t="s">
        <v>165</v>
      </c>
      <c r="M260" s="189">
        <v>65.099999999999994</v>
      </c>
      <c r="N260" s="190"/>
      <c r="O260" s="195"/>
      <c r="P260" s="195"/>
      <c r="Q260" s="189" t="s">
        <v>229</v>
      </c>
      <c r="R260" s="41"/>
    </row>
    <row r="261" spans="1:18" ht="15.75" customHeight="1">
      <c r="A261" s="193">
        <v>58</v>
      </c>
      <c r="B261" s="186">
        <v>1</v>
      </c>
      <c r="C261" s="132">
        <v>-2</v>
      </c>
      <c r="D261" s="35"/>
      <c r="E261" s="132">
        <v>36</v>
      </c>
      <c r="F261" s="35"/>
      <c r="G261" s="35"/>
      <c r="H261" s="132">
        <v>169</v>
      </c>
      <c r="I261" s="35"/>
      <c r="J261" s="35"/>
      <c r="K261" s="35"/>
      <c r="L261" s="132" t="s">
        <v>165</v>
      </c>
      <c r="M261" s="132">
        <v>64</v>
      </c>
      <c r="N261" s="35"/>
      <c r="O261" s="35"/>
      <c r="P261" s="35"/>
      <c r="Q261" s="132" t="s">
        <v>229</v>
      </c>
      <c r="R261" s="36"/>
    </row>
    <row r="262" spans="1:18" ht="15.75" customHeight="1">
      <c r="A262" s="193">
        <v>58</v>
      </c>
      <c r="B262" s="186">
        <v>2</v>
      </c>
      <c r="C262" s="132">
        <v>-3</v>
      </c>
      <c r="D262" s="35"/>
      <c r="E262" s="132">
        <v>36</v>
      </c>
      <c r="F262" s="35"/>
      <c r="G262" s="35"/>
      <c r="H262" s="132">
        <v>167</v>
      </c>
      <c r="I262" s="35"/>
      <c r="J262" s="35"/>
      <c r="K262" s="35"/>
      <c r="L262" s="132" t="s">
        <v>165</v>
      </c>
      <c r="M262" s="132">
        <v>49</v>
      </c>
      <c r="N262" s="35"/>
      <c r="O262" s="35"/>
      <c r="P262" s="35"/>
      <c r="Q262" s="132" t="s">
        <v>229</v>
      </c>
      <c r="R262" s="36"/>
    </row>
    <row r="263" spans="1:18" ht="15.75" customHeight="1">
      <c r="A263" s="193">
        <v>58</v>
      </c>
      <c r="B263" s="186">
        <v>3</v>
      </c>
      <c r="C263" s="132">
        <v>-2</v>
      </c>
      <c r="D263" s="35"/>
      <c r="E263" s="132">
        <v>38</v>
      </c>
      <c r="F263" s="35"/>
      <c r="G263" s="35"/>
      <c r="H263" s="132">
        <v>166</v>
      </c>
      <c r="I263" s="35"/>
      <c r="J263" s="35"/>
      <c r="K263" s="35"/>
      <c r="L263" s="132" t="s">
        <v>165</v>
      </c>
      <c r="M263" s="132">
        <v>38</v>
      </c>
      <c r="N263" s="35"/>
      <c r="O263" s="35"/>
      <c r="P263" s="35"/>
      <c r="Q263" s="132" t="s">
        <v>229</v>
      </c>
      <c r="R263" s="36"/>
    </row>
    <row r="264" spans="1:18" ht="15.75" customHeight="1">
      <c r="A264" s="193">
        <v>58</v>
      </c>
      <c r="B264" s="186">
        <v>4</v>
      </c>
      <c r="C264" s="132">
        <v>-2</v>
      </c>
      <c r="D264" s="35"/>
      <c r="E264" s="132">
        <v>38</v>
      </c>
      <c r="F264" s="35"/>
      <c r="G264" s="35"/>
      <c r="H264" s="132">
        <v>165</v>
      </c>
      <c r="I264" s="35"/>
      <c r="J264" s="35"/>
      <c r="K264" s="35"/>
      <c r="L264" s="132" t="s">
        <v>165</v>
      </c>
      <c r="M264" s="132">
        <v>31</v>
      </c>
      <c r="N264" s="35"/>
      <c r="O264" s="35"/>
      <c r="P264" s="35"/>
      <c r="Q264" s="132" t="s">
        <v>229</v>
      </c>
      <c r="R264" s="36"/>
    </row>
    <row r="265" spans="1:18" ht="15.75" customHeight="1">
      <c r="A265" s="193">
        <v>59</v>
      </c>
      <c r="B265" s="186">
        <v>1</v>
      </c>
      <c r="J265" s="132">
        <v>251.5</v>
      </c>
      <c r="K265" s="132">
        <v>278.7</v>
      </c>
      <c r="L265" s="132" t="s">
        <v>165</v>
      </c>
      <c r="R265" s="6"/>
    </row>
    <row r="266" spans="1:18" ht="15.75" customHeight="1">
      <c r="A266" s="193">
        <v>59</v>
      </c>
      <c r="B266" s="186">
        <v>2</v>
      </c>
      <c r="H266" s="132"/>
      <c r="J266" s="132">
        <v>197</v>
      </c>
      <c r="K266" s="132">
        <v>283.60000000000002</v>
      </c>
      <c r="L266" s="132" t="s">
        <v>165</v>
      </c>
      <c r="R266" s="6"/>
    </row>
    <row r="267" spans="1:18" ht="15.75" customHeight="1">
      <c r="A267" s="193">
        <v>59</v>
      </c>
      <c r="B267" s="186">
        <v>3</v>
      </c>
      <c r="J267" s="132">
        <v>248.5</v>
      </c>
      <c r="K267" s="132">
        <v>270.8</v>
      </c>
      <c r="L267" s="132" t="s">
        <v>165</v>
      </c>
      <c r="R267" s="6"/>
    </row>
    <row r="268" spans="1:18" ht="15.75" customHeight="1">
      <c r="A268" s="191">
        <v>59</v>
      </c>
      <c r="B268" s="188">
        <v>4</v>
      </c>
      <c r="C268" s="195"/>
      <c r="D268" s="195"/>
      <c r="E268" s="195"/>
      <c r="F268" s="195"/>
      <c r="G268" s="195"/>
      <c r="H268" s="195"/>
      <c r="I268" s="195"/>
      <c r="J268" s="189">
        <v>249.3</v>
      </c>
      <c r="K268" s="189">
        <v>273.8</v>
      </c>
      <c r="L268" s="189" t="s">
        <v>165</v>
      </c>
      <c r="M268" s="195"/>
      <c r="N268" s="195"/>
      <c r="O268" s="195"/>
      <c r="P268" s="195"/>
      <c r="Q268" s="195"/>
      <c r="R268" s="41"/>
    </row>
    <row r="269" spans="1:18" ht="15.75" customHeight="1">
      <c r="A269" s="193">
        <v>60</v>
      </c>
      <c r="B269" s="186">
        <v>1</v>
      </c>
      <c r="H269" s="132"/>
      <c r="I269" s="132"/>
      <c r="L269" s="35"/>
      <c r="R269" s="6"/>
    </row>
    <row r="270" spans="1:18" ht="15.75" customHeight="1">
      <c r="A270" s="193">
        <v>60</v>
      </c>
      <c r="B270" s="186">
        <v>2</v>
      </c>
      <c r="L270" s="35"/>
      <c r="R270" s="6"/>
    </row>
    <row r="271" spans="1:18" ht="15.75" customHeight="1">
      <c r="A271" s="193">
        <v>60</v>
      </c>
      <c r="B271" s="186">
        <v>3</v>
      </c>
      <c r="G271" s="35"/>
      <c r="H271" s="35"/>
      <c r="I271" s="35"/>
      <c r="J271" s="35"/>
      <c r="K271" s="35"/>
      <c r="L271" s="35"/>
      <c r="R271" s="6"/>
    </row>
    <row r="272" spans="1:18" ht="15.75" customHeight="1">
      <c r="A272" s="193">
        <v>60</v>
      </c>
      <c r="B272" s="186">
        <v>4</v>
      </c>
      <c r="G272" s="35"/>
      <c r="H272" s="35"/>
      <c r="I272" s="35"/>
      <c r="J272" s="35"/>
      <c r="K272" s="35"/>
      <c r="L272" s="35"/>
      <c r="R272" s="6"/>
    </row>
    <row r="273" spans="1:18" ht="15.75" customHeight="1">
      <c r="A273" s="193">
        <v>60</v>
      </c>
      <c r="B273" s="186">
        <v>5</v>
      </c>
      <c r="G273" s="35"/>
      <c r="H273" s="132">
        <v>161.69999999999999</v>
      </c>
      <c r="I273" s="132">
        <v>173.9</v>
      </c>
      <c r="J273" s="35"/>
      <c r="K273" s="35"/>
      <c r="L273" s="132" t="s">
        <v>165</v>
      </c>
      <c r="R273" s="6"/>
    </row>
    <row r="274" spans="1:18" ht="15.75" customHeight="1">
      <c r="A274" s="191">
        <v>60</v>
      </c>
      <c r="B274" s="188">
        <v>6</v>
      </c>
      <c r="C274" s="195"/>
      <c r="D274" s="195"/>
      <c r="E274" s="195"/>
      <c r="F274" s="195"/>
      <c r="G274" s="190"/>
      <c r="H274" s="189">
        <v>157.69999999999999</v>
      </c>
      <c r="I274" s="189">
        <v>168.2</v>
      </c>
      <c r="J274" s="190"/>
      <c r="K274" s="190"/>
      <c r="L274" s="189" t="s">
        <v>165</v>
      </c>
      <c r="M274" s="195"/>
      <c r="N274" s="195"/>
      <c r="O274" s="195"/>
      <c r="P274" s="195"/>
      <c r="Q274" s="195"/>
      <c r="R274" s="41"/>
    </row>
    <row r="275" spans="1:18" ht="15.75" customHeight="1">
      <c r="A275" s="191">
        <v>61</v>
      </c>
      <c r="B275" s="188">
        <v>1</v>
      </c>
      <c r="C275" s="189">
        <v>1.6</v>
      </c>
      <c r="D275" s="195"/>
      <c r="E275" s="195"/>
      <c r="F275" s="189">
        <v>122.7</v>
      </c>
      <c r="G275" s="190"/>
      <c r="H275" s="189">
        <v>174.5</v>
      </c>
      <c r="I275" s="190"/>
      <c r="J275" s="189">
        <v>243.3</v>
      </c>
      <c r="K275" s="189">
        <v>286.2</v>
      </c>
      <c r="L275" s="189" t="s">
        <v>165</v>
      </c>
      <c r="M275" s="189">
        <v>85.2</v>
      </c>
      <c r="N275" s="195"/>
      <c r="O275" s="195"/>
      <c r="P275" s="189">
        <v>81.599999999999994</v>
      </c>
      <c r="Q275" s="189" t="s">
        <v>229</v>
      </c>
      <c r="R275" s="41"/>
    </row>
    <row r="276" spans="1:18" ht="15.75" customHeight="1">
      <c r="A276" s="193">
        <v>62</v>
      </c>
      <c r="B276" s="186">
        <v>1</v>
      </c>
      <c r="C276" s="35"/>
      <c r="D276" s="35"/>
      <c r="E276" s="132">
        <v>82.3</v>
      </c>
      <c r="F276" s="35"/>
      <c r="G276" s="35"/>
      <c r="H276" s="132">
        <v>128</v>
      </c>
      <c r="I276" s="132">
        <v>153.80000000000001</v>
      </c>
      <c r="J276" s="132">
        <v>227.5</v>
      </c>
      <c r="K276" s="132">
        <v>249.8</v>
      </c>
      <c r="L276" s="132" t="s">
        <v>165</v>
      </c>
      <c r="M276" s="132">
        <v>49.8</v>
      </c>
      <c r="N276" s="35"/>
      <c r="O276" s="132">
        <v>33.1</v>
      </c>
      <c r="P276" s="35"/>
      <c r="Q276" s="132" t="s">
        <v>229</v>
      </c>
      <c r="R276" s="194">
        <v>45</v>
      </c>
    </row>
    <row r="277" spans="1:18" ht="15.75" customHeight="1">
      <c r="A277" s="193">
        <v>62</v>
      </c>
      <c r="B277" s="186">
        <v>2</v>
      </c>
      <c r="C277" s="35"/>
      <c r="D277" s="35"/>
      <c r="E277" s="132">
        <v>41.2</v>
      </c>
      <c r="F277" s="132">
        <v>81.2</v>
      </c>
      <c r="G277" s="35"/>
      <c r="H277" s="132">
        <v>152.6</v>
      </c>
      <c r="I277" s="35"/>
      <c r="J277" s="132">
        <v>206</v>
      </c>
      <c r="K277" s="132">
        <v>260.8</v>
      </c>
      <c r="L277" s="132" t="s">
        <v>165</v>
      </c>
      <c r="M277" s="132">
        <v>6.3</v>
      </c>
      <c r="N277" s="35"/>
      <c r="O277" s="132">
        <v>7.2</v>
      </c>
      <c r="P277" s="35"/>
      <c r="Q277" s="132" t="s">
        <v>229</v>
      </c>
      <c r="R277" s="194">
        <v>37</v>
      </c>
    </row>
    <row r="278" spans="1:18" ht="15.75" customHeight="1">
      <c r="A278" s="191">
        <v>62</v>
      </c>
      <c r="B278" s="188">
        <v>3</v>
      </c>
      <c r="C278" s="190"/>
      <c r="D278" s="190"/>
      <c r="E278" s="189">
        <v>41.4</v>
      </c>
      <c r="F278" s="190"/>
      <c r="G278" s="190"/>
      <c r="H278" s="189">
        <v>131</v>
      </c>
      <c r="I278" s="190"/>
      <c r="J278" s="189">
        <v>214.1</v>
      </c>
      <c r="K278" s="189">
        <v>244.1</v>
      </c>
      <c r="L278" s="132" t="s">
        <v>165</v>
      </c>
      <c r="M278" s="189">
        <v>1.2</v>
      </c>
      <c r="N278" s="190"/>
      <c r="O278" s="189">
        <v>3.6</v>
      </c>
      <c r="P278" s="190"/>
      <c r="Q278" s="189" t="s">
        <v>229</v>
      </c>
      <c r="R278" s="196">
        <v>47</v>
      </c>
    </row>
    <row r="279" spans="1:18" ht="15.75" customHeight="1">
      <c r="A279" s="193">
        <v>63</v>
      </c>
      <c r="B279" s="186">
        <v>1</v>
      </c>
      <c r="G279" s="35"/>
      <c r="H279" s="132">
        <v>174.18</v>
      </c>
      <c r="I279" s="35"/>
      <c r="J279" s="35"/>
      <c r="K279" s="132">
        <v>305.52999999999997</v>
      </c>
      <c r="L279" s="174" t="s">
        <v>165</v>
      </c>
      <c r="M279" s="132">
        <v>50.36</v>
      </c>
      <c r="R279" s="6"/>
    </row>
    <row r="280" spans="1:18" ht="15.75" customHeight="1">
      <c r="A280" s="193">
        <v>63</v>
      </c>
      <c r="B280" s="186">
        <v>2</v>
      </c>
      <c r="G280" s="35"/>
      <c r="H280" s="132">
        <v>171.37</v>
      </c>
      <c r="I280" s="35"/>
      <c r="J280" s="35"/>
      <c r="K280" s="132">
        <v>297.89</v>
      </c>
      <c r="L280" s="132" t="s">
        <v>165</v>
      </c>
      <c r="M280" s="132">
        <v>36.03</v>
      </c>
      <c r="R280" s="6"/>
    </row>
    <row r="281" spans="1:18" ht="15.75" customHeight="1">
      <c r="A281" s="193">
        <v>63</v>
      </c>
      <c r="B281" s="186">
        <v>3</v>
      </c>
      <c r="G281" s="35"/>
      <c r="H281" s="132">
        <v>179.82</v>
      </c>
      <c r="I281" s="35"/>
      <c r="J281" s="35"/>
      <c r="K281" s="132">
        <v>297.17</v>
      </c>
      <c r="L281" s="132" t="s">
        <v>165</v>
      </c>
      <c r="M281" s="132">
        <v>56.27</v>
      </c>
      <c r="R281" s="6"/>
    </row>
    <row r="282" spans="1:18" ht="15.75" customHeight="1">
      <c r="A282" s="191">
        <v>63</v>
      </c>
      <c r="B282" s="188">
        <v>4</v>
      </c>
      <c r="C282" s="195"/>
      <c r="D282" s="195"/>
      <c r="E282" s="195"/>
      <c r="F282" s="195"/>
      <c r="G282" s="190"/>
      <c r="H282" s="189">
        <v>175.34</v>
      </c>
      <c r="I282" s="190"/>
      <c r="J282" s="190"/>
      <c r="K282" s="189">
        <v>296.12</v>
      </c>
      <c r="L282" s="189" t="s">
        <v>165</v>
      </c>
      <c r="M282" s="189">
        <v>28.3</v>
      </c>
      <c r="N282" s="195"/>
      <c r="O282" s="195"/>
      <c r="P282" s="195"/>
      <c r="Q282" s="195"/>
      <c r="R282" s="41"/>
    </row>
    <row r="283" spans="1:18" ht="15.75" customHeight="1">
      <c r="A283" s="193">
        <v>64</v>
      </c>
      <c r="B283" s="186">
        <v>1</v>
      </c>
      <c r="C283" s="35">
        <v>2.6</v>
      </c>
      <c r="D283" s="35"/>
      <c r="E283" s="35">
        <v>116.8</v>
      </c>
      <c r="F283" s="35"/>
      <c r="G283" s="35"/>
      <c r="H283" s="35">
        <v>170.4</v>
      </c>
      <c r="I283" s="35"/>
      <c r="J283" s="35">
        <v>259.89999999999998</v>
      </c>
      <c r="K283" s="35">
        <v>277.3</v>
      </c>
      <c r="L283" s="132" t="s">
        <v>165</v>
      </c>
      <c r="M283" s="35">
        <v>83.2</v>
      </c>
      <c r="N283" s="35"/>
      <c r="O283" s="35"/>
      <c r="P283" s="35"/>
      <c r="Q283" s="132" t="s">
        <v>229</v>
      </c>
      <c r="R283" s="36"/>
    </row>
    <row r="284" spans="1:18" ht="15.75" customHeight="1">
      <c r="A284" s="193">
        <v>64</v>
      </c>
      <c r="B284" s="186">
        <v>2</v>
      </c>
      <c r="C284" s="35">
        <v>2.6</v>
      </c>
      <c r="D284" s="35"/>
      <c r="E284" s="35">
        <v>117.8</v>
      </c>
      <c r="F284" s="35"/>
      <c r="G284" s="35"/>
      <c r="H284" s="35">
        <v>169.9</v>
      </c>
      <c r="I284" s="35"/>
      <c r="J284" s="35">
        <v>250.8</v>
      </c>
      <c r="K284" s="35">
        <v>270.89999999999998</v>
      </c>
      <c r="L284" s="132" t="s">
        <v>165</v>
      </c>
      <c r="M284" s="35">
        <v>85.7</v>
      </c>
      <c r="N284" s="35"/>
      <c r="O284" s="35"/>
      <c r="P284" s="35"/>
      <c r="Q284" s="132" t="s">
        <v>229</v>
      </c>
      <c r="R284" s="36"/>
    </row>
    <row r="285" spans="1:18" ht="15.75" customHeight="1">
      <c r="A285" s="193">
        <v>64</v>
      </c>
      <c r="B285" s="186">
        <v>3</v>
      </c>
      <c r="C285" s="35">
        <v>2.2999999999999998</v>
      </c>
      <c r="D285" s="35"/>
      <c r="E285" s="35">
        <v>118.1</v>
      </c>
      <c r="F285" s="35"/>
      <c r="G285" s="35"/>
      <c r="H285" s="35">
        <v>170.1</v>
      </c>
      <c r="I285" s="35"/>
      <c r="J285" s="35">
        <v>245.3</v>
      </c>
      <c r="K285" s="35">
        <v>265.39999999999998</v>
      </c>
      <c r="L285" s="132" t="s">
        <v>165</v>
      </c>
      <c r="M285" s="35">
        <v>86.2</v>
      </c>
      <c r="N285" s="35"/>
      <c r="O285" s="35"/>
      <c r="P285" s="35"/>
      <c r="Q285" s="132" t="s">
        <v>229</v>
      </c>
      <c r="R285" s="36"/>
    </row>
    <row r="286" spans="1:18" ht="15.75" customHeight="1">
      <c r="A286" s="193">
        <v>64</v>
      </c>
      <c r="B286" s="186">
        <v>4</v>
      </c>
      <c r="C286" s="35">
        <v>2.4</v>
      </c>
      <c r="D286" s="35"/>
      <c r="E286" s="35">
        <v>118.2</v>
      </c>
      <c r="F286" s="35"/>
      <c r="G286" s="35"/>
      <c r="H286" s="35">
        <v>171.7</v>
      </c>
      <c r="I286" s="35"/>
      <c r="J286" s="35">
        <v>245.3</v>
      </c>
      <c r="K286" s="35">
        <v>265.39999999999998</v>
      </c>
      <c r="L286" s="132" t="s">
        <v>165</v>
      </c>
      <c r="M286" s="35">
        <v>87.4</v>
      </c>
      <c r="N286" s="35"/>
      <c r="O286" s="35"/>
      <c r="P286" s="35"/>
      <c r="Q286" s="132" t="s">
        <v>229</v>
      </c>
      <c r="R286" s="36"/>
    </row>
    <row r="287" spans="1:18" ht="15.75" customHeight="1">
      <c r="A287" s="193">
        <v>64</v>
      </c>
      <c r="B287" s="186">
        <v>5</v>
      </c>
      <c r="C287" s="35">
        <v>2.2999999999999998</v>
      </c>
      <c r="D287" s="35"/>
      <c r="E287" s="35">
        <v>118.9</v>
      </c>
      <c r="F287" s="35"/>
      <c r="G287" s="35"/>
      <c r="H287" s="35">
        <v>170.2</v>
      </c>
      <c r="I287" s="35"/>
      <c r="J287" s="35">
        <v>240.7</v>
      </c>
      <c r="K287" s="35">
        <v>262.7</v>
      </c>
      <c r="L287" s="132" t="s">
        <v>165</v>
      </c>
      <c r="M287" s="35">
        <v>89.7</v>
      </c>
      <c r="N287" s="35"/>
      <c r="O287" s="35"/>
      <c r="P287" s="35"/>
      <c r="Q287" s="132" t="s">
        <v>229</v>
      </c>
      <c r="R287" s="36"/>
    </row>
    <row r="288" spans="1:18" ht="15.75" customHeight="1">
      <c r="A288" s="193">
        <v>64</v>
      </c>
      <c r="B288" s="186">
        <v>6</v>
      </c>
      <c r="C288" s="35">
        <v>2.2000000000000002</v>
      </c>
      <c r="D288" s="35"/>
      <c r="E288" s="35">
        <v>120.5</v>
      </c>
      <c r="F288" s="35"/>
      <c r="G288" s="35"/>
      <c r="H288" s="35">
        <v>170.1</v>
      </c>
      <c r="I288" s="35"/>
      <c r="J288" s="35">
        <v>230</v>
      </c>
      <c r="K288" s="35">
        <v>262</v>
      </c>
      <c r="L288" s="132" t="s">
        <v>165</v>
      </c>
      <c r="M288" s="35">
        <v>100.6</v>
      </c>
      <c r="N288" s="35"/>
      <c r="O288" s="35"/>
      <c r="P288" s="35"/>
      <c r="Q288" s="132" t="s">
        <v>229</v>
      </c>
      <c r="R288" s="36"/>
    </row>
    <row r="289" spans="1:18" ht="15.75" customHeight="1">
      <c r="A289" s="193">
        <v>64</v>
      </c>
      <c r="B289" s="186">
        <v>7</v>
      </c>
      <c r="C289" s="35">
        <v>2.5</v>
      </c>
      <c r="D289" s="35"/>
      <c r="E289" s="35">
        <v>116.9</v>
      </c>
      <c r="F289" s="35"/>
      <c r="G289" s="35"/>
      <c r="H289" s="35">
        <v>169</v>
      </c>
      <c r="I289" s="35"/>
      <c r="J289" s="35">
        <v>215.2</v>
      </c>
      <c r="K289" s="35">
        <v>256.39999999999998</v>
      </c>
      <c r="L289" s="132" t="s">
        <v>165</v>
      </c>
      <c r="M289" s="35">
        <v>67.900000000000006</v>
      </c>
      <c r="N289" s="35"/>
      <c r="O289" s="35"/>
      <c r="P289" s="35"/>
      <c r="Q289" s="132" t="s">
        <v>229</v>
      </c>
      <c r="R289" s="36"/>
    </row>
    <row r="290" spans="1:18" ht="15.75" customHeight="1">
      <c r="A290" s="193">
        <v>64</v>
      </c>
      <c r="B290" s="186">
        <v>8</v>
      </c>
      <c r="C290" s="35">
        <v>1.8</v>
      </c>
      <c r="D290" s="35"/>
      <c r="E290" s="35">
        <v>116.7</v>
      </c>
      <c r="F290" s="35"/>
      <c r="G290" s="35"/>
      <c r="H290" s="35">
        <v>169</v>
      </c>
      <c r="I290" s="35"/>
      <c r="J290" s="35">
        <v>259.8</v>
      </c>
      <c r="K290" s="35">
        <v>281</v>
      </c>
      <c r="L290" s="132" t="s">
        <v>165</v>
      </c>
      <c r="M290" s="35">
        <v>77.400000000000006</v>
      </c>
      <c r="N290" s="35"/>
      <c r="O290" s="35"/>
      <c r="P290" s="35"/>
      <c r="Q290" s="132" t="s">
        <v>229</v>
      </c>
      <c r="R290" s="36"/>
    </row>
    <row r="291" spans="1:18" ht="15.75" customHeight="1">
      <c r="A291" s="193">
        <v>64</v>
      </c>
      <c r="B291" s="186">
        <v>9</v>
      </c>
      <c r="C291" s="35">
        <v>1.4</v>
      </c>
      <c r="D291" s="35"/>
      <c r="E291" s="35">
        <v>116.4</v>
      </c>
      <c r="F291" s="35"/>
      <c r="G291" s="35"/>
      <c r="H291" s="35">
        <v>167.4</v>
      </c>
      <c r="I291" s="35"/>
      <c r="J291" s="35">
        <v>251.7</v>
      </c>
      <c r="K291" s="35">
        <v>276.39999999999998</v>
      </c>
      <c r="L291" s="132" t="s">
        <v>165</v>
      </c>
      <c r="M291" s="35">
        <v>74.900000000000006</v>
      </c>
      <c r="N291" s="35"/>
      <c r="O291" s="35"/>
      <c r="P291" s="35"/>
      <c r="Q291" s="132" t="s">
        <v>229</v>
      </c>
      <c r="R291" s="36"/>
    </row>
    <row r="292" spans="1:18" ht="15.75" customHeight="1">
      <c r="A292" s="193">
        <v>64</v>
      </c>
      <c r="B292" s="186">
        <v>10</v>
      </c>
      <c r="C292" s="35">
        <v>1.5</v>
      </c>
      <c r="D292" s="35"/>
      <c r="E292" s="35">
        <v>118.5</v>
      </c>
      <c r="F292" s="35"/>
      <c r="G292" s="35"/>
      <c r="H292" s="35">
        <v>168.8</v>
      </c>
      <c r="I292" s="35"/>
      <c r="J292" s="35">
        <v>248</v>
      </c>
      <c r="K292" s="35">
        <v>273.7</v>
      </c>
      <c r="L292" s="132" t="s">
        <v>165</v>
      </c>
      <c r="M292" s="35">
        <v>72.3</v>
      </c>
      <c r="N292" s="35"/>
      <c r="O292" s="35"/>
      <c r="P292" s="35"/>
      <c r="Q292" s="132" t="s">
        <v>229</v>
      </c>
      <c r="R292" s="36"/>
    </row>
    <row r="293" spans="1:18" ht="15.75" customHeight="1">
      <c r="A293" s="193">
        <v>64</v>
      </c>
      <c r="B293" s="186">
        <v>11</v>
      </c>
      <c r="C293" s="35">
        <v>1.3</v>
      </c>
      <c r="D293" s="35"/>
      <c r="E293" s="35">
        <v>114.9</v>
      </c>
      <c r="F293" s="35"/>
      <c r="G293" s="35"/>
      <c r="H293" s="35">
        <v>165.4</v>
      </c>
      <c r="I293" s="35"/>
      <c r="J293" s="35">
        <v>247.1</v>
      </c>
      <c r="K293" s="35">
        <v>271.8</v>
      </c>
      <c r="L293" s="132" t="s">
        <v>165</v>
      </c>
      <c r="M293" s="35">
        <v>66.8</v>
      </c>
      <c r="N293" s="35"/>
      <c r="O293" s="35"/>
      <c r="P293" s="35"/>
      <c r="Q293" s="132" t="s">
        <v>229</v>
      </c>
      <c r="R293" s="36"/>
    </row>
    <row r="294" spans="1:18" ht="15.75" customHeight="1">
      <c r="A294" s="193">
        <v>64</v>
      </c>
      <c r="B294" s="186">
        <v>12</v>
      </c>
      <c r="C294" s="35">
        <v>0.9</v>
      </c>
      <c r="D294" s="35"/>
      <c r="E294" s="35">
        <v>113.9</v>
      </c>
      <c r="F294" s="35"/>
      <c r="G294" s="35"/>
      <c r="H294" s="35">
        <v>163.4</v>
      </c>
      <c r="I294" s="35"/>
      <c r="J294" s="35">
        <v>215.2</v>
      </c>
      <c r="K294" s="35">
        <v>261</v>
      </c>
      <c r="L294" s="132" t="s">
        <v>165</v>
      </c>
      <c r="M294" s="35">
        <v>50.3</v>
      </c>
      <c r="N294" s="35"/>
      <c r="O294" s="35"/>
      <c r="P294" s="35"/>
      <c r="Q294" s="132" t="s">
        <v>229</v>
      </c>
      <c r="R294" s="36"/>
    </row>
    <row r="295" spans="1:18" ht="15.75" customHeight="1">
      <c r="A295" s="191">
        <v>64</v>
      </c>
      <c r="B295" s="188">
        <v>13</v>
      </c>
      <c r="C295" s="190">
        <v>0.6</v>
      </c>
      <c r="D295" s="190"/>
      <c r="E295" s="190">
        <v>113.8</v>
      </c>
      <c r="F295" s="190"/>
      <c r="G295" s="190"/>
      <c r="H295" s="189">
        <v>160.5</v>
      </c>
      <c r="I295" s="190">
        <v>168.6</v>
      </c>
      <c r="J295" s="190">
        <v>205.1</v>
      </c>
      <c r="K295" s="190">
        <v>259.2</v>
      </c>
      <c r="L295" s="189" t="s">
        <v>165</v>
      </c>
      <c r="M295" s="190">
        <v>47.4</v>
      </c>
      <c r="N295" s="190"/>
      <c r="O295" s="190"/>
      <c r="P295" s="190"/>
      <c r="Q295" s="189" t="s">
        <v>229</v>
      </c>
      <c r="R295" s="38"/>
    </row>
    <row r="296" spans="1:18" ht="15.75" customHeight="1">
      <c r="A296" s="193">
        <v>65</v>
      </c>
      <c r="B296" s="186">
        <v>1</v>
      </c>
      <c r="C296" s="132">
        <v>3</v>
      </c>
      <c r="D296" s="35"/>
      <c r="E296" s="35"/>
      <c r="F296" s="35"/>
      <c r="G296" s="35"/>
      <c r="H296" s="132">
        <v>172</v>
      </c>
      <c r="I296" s="35"/>
      <c r="J296" s="35"/>
      <c r="K296" s="35"/>
      <c r="L296" s="132" t="s">
        <v>165</v>
      </c>
      <c r="M296" s="132">
        <v>92</v>
      </c>
      <c r="N296" s="35"/>
      <c r="O296" s="35"/>
      <c r="P296" s="35"/>
      <c r="Q296" s="132" t="s">
        <v>229</v>
      </c>
      <c r="R296" s="194">
        <v>63</v>
      </c>
    </row>
    <row r="297" spans="1:18" ht="15.75" customHeight="1">
      <c r="A297" s="193">
        <v>65</v>
      </c>
      <c r="B297" s="186">
        <v>2</v>
      </c>
      <c r="C297" s="132">
        <v>7</v>
      </c>
      <c r="D297" s="35"/>
      <c r="E297" s="35"/>
      <c r="F297" s="35"/>
      <c r="G297" s="35"/>
      <c r="H297" s="132">
        <v>174</v>
      </c>
      <c r="I297" s="35"/>
      <c r="J297" s="35"/>
      <c r="K297" s="35"/>
      <c r="L297" s="132" t="s">
        <v>165</v>
      </c>
      <c r="M297" s="132">
        <v>90</v>
      </c>
      <c r="N297" s="35"/>
      <c r="O297" s="35"/>
      <c r="P297" s="35"/>
      <c r="Q297" s="132" t="s">
        <v>229</v>
      </c>
      <c r="R297" s="194">
        <v>68.8</v>
      </c>
    </row>
    <row r="298" spans="1:18" ht="15.75" customHeight="1">
      <c r="A298" s="193">
        <v>65</v>
      </c>
      <c r="B298" s="186">
        <v>3</v>
      </c>
      <c r="C298" s="132">
        <v>9</v>
      </c>
      <c r="D298" s="35"/>
      <c r="E298" s="35"/>
      <c r="F298" s="35"/>
      <c r="G298" s="35"/>
      <c r="H298" s="132">
        <v>173</v>
      </c>
      <c r="I298" s="35"/>
      <c r="J298" s="35"/>
      <c r="K298" s="35"/>
      <c r="L298" s="132" t="s">
        <v>165</v>
      </c>
      <c r="M298" s="132">
        <v>85</v>
      </c>
      <c r="N298" s="35"/>
      <c r="O298" s="35"/>
      <c r="P298" s="35"/>
      <c r="Q298" s="132" t="s">
        <v>229</v>
      </c>
      <c r="R298" s="194">
        <v>72.5</v>
      </c>
    </row>
    <row r="299" spans="1:18" ht="15.75" customHeight="1">
      <c r="A299" s="193">
        <v>65</v>
      </c>
      <c r="B299" s="186">
        <v>4</v>
      </c>
      <c r="C299" s="132">
        <v>15</v>
      </c>
      <c r="D299" s="35"/>
      <c r="E299" s="35"/>
      <c r="F299" s="35"/>
      <c r="G299" s="35"/>
      <c r="H299" s="132">
        <v>170</v>
      </c>
      <c r="I299" s="35"/>
      <c r="J299" s="35"/>
      <c r="K299" s="35"/>
      <c r="L299" s="132" t="s">
        <v>165</v>
      </c>
      <c r="M299" s="132">
        <v>78</v>
      </c>
      <c r="N299" s="35"/>
      <c r="O299" s="35"/>
      <c r="P299" s="35"/>
      <c r="Q299" s="132" t="s">
        <v>229</v>
      </c>
      <c r="R299" s="194">
        <v>88</v>
      </c>
    </row>
    <row r="300" spans="1:18" ht="15.75" customHeight="1">
      <c r="A300" s="193">
        <v>65</v>
      </c>
      <c r="B300" s="186">
        <v>5</v>
      </c>
      <c r="C300" s="132">
        <v>18</v>
      </c>
      <c r="D300" s="35"/>
      <c r="E300" s="35"/>
      <c r="F300" s="35"/>
      <c r="G300" s="35"/>
      <c r="H300" s="132">
        <v>167</v>
      </c>
      <c r="I300" s="35"/>
      <c r="J300" s="35"/>
      <c r="K300" s="35"/>
      <c r="L300" s="132" t="s">
        <v>165</v>
      </c>
      <c r="M300" s="132">
        <v>34</v>
      </c>
      <c r="N300" s="35"/>
      <c r="O300" s="35"/>
      <c r="P300" s="35"/>
      <c r="Q300" s="132" t="s">
        <v>229</v>
      </c>
      <c r="R300" s="194">
        <v>46</v>
      </c>
    </row>
    <row r="301" spans="1:18" ht="15.75" customHeight="1">
      <c r="A301" s="193">
        <v>66</v>
      </c>
      <c r="B301" s="186">
        <v>1</v>
      </c>
      <c r="C301" s="132">
        <v>5.66</v>
      </c>
      <c r="D301" s="35"/>
      <c r="E301" s="132">
        <v>82.85</v>
      </c>
      <c r="F301" s="35"/>
      <c r="G301" s="35"/>
      <c r="H301" s="35"/>
      <c r="I301" s="132">
        <v>172</v>
      </c>
      <c r="J301" s="35"/>
      <c r="K301" s="35"/>
      <c r="L301" s="132" t="s">
        <v>165</v>
      </c>
      <c r="M301" s="35"/>
      <c r="N301" s="35"/>
      <c r="O301" s="35"/>
      <c r="P301" s="35"/>
      <c r="Q301" s="35"/>
      <c r="R301" s="36"/>
    </row>
    <row r="302" spans="1:18" ht="15.75" customHeight="1">
      <c r="A302" s="193">
        <v>66</v>
      </c>
      <c r="B302" s="186">
        <v>2</v>
      </c>
      <c r="C302" s="132">
        <v>4.9400000000000004</v>
      </c>
      <c r="D302" s="35"/>
      <c r="E302" s="132">
        <v>84.37</v>
      </c>
      <c r="F302" s="35"/>
      <c r="G302" s="35"/>
      <c r="H302" s="132">
        <v>167.73</v>
      </c>
      <c r="I302" s="132">
        <v>172.89</v>
      </c>
      <c r="K302" s="35"/>
      <c r="L302" s="132" t="s">
        <v>165</v>
      </c>
      <c r="M302" s="35"/>
      <c r="N302" s="35"/>
      <c r="O302" s="35"/>
      <c r="P302" s="35"/>
      <c r="Q302" s="35"/>
      <c r="R302" s="36"/>
    </row>
    <row r="303" spans="1:18" ht="15.75" customHeight="1">
      <c r="A303" s="193">
        <v>66</v>
      </c>
      <c r="B303" s="186">
        <v>3</v>
      </c>
      <c r="C303" s="132">
        <v>4.05</v>
      </c>
      <c r="D303" s="35"/>
      <c r="E303" s="132">
        <v>77.33</v>
      </c>
      <c r="F303" s="35"/>
      <c r="G303" s="35"/>
      <c r="H303" s="132">
        <v>166.79</v>
      </c>
      <c r="I303" s="132">
        <v>172.86</v>
      </c>
      <c r="K303" s="35"/>
      <c r="L303" s="132" t="s">
        <v>165</v>
      </c>
      <c r="M303" s="35"/>
      <c r="N303" s="35"/>
      <c r="O303" s="35"/>
      <c r="P303" s="35"/>
      <c r="Q303" s="35"/>
      <c r="R303" s="36"/>
    </row>
    <row r="304" spans="1:18" ht="15.75" customHeight="1">
      <c r="A304" s="191">
        <v>66</v>
      </c>
      <c r="B304" s="188">
        <v>4</v>
      </c>
      <c r="C304" s="189">
        <v>4.6500000000000004</v>
      </c>
      <c r="D304" s="190"/>
      <c r="E304" s="189">
        <v>69.489999999999995</v>
      </c>
      <c r="F304" s="190"/>
      <c r="G304" s="190"/>
      <c r="H304" s="189">
        <v>167.14</v>
      </c>
      <c r="I304" s="189">
        <v>172.85</v>
      </c>
      <c r="J304" s="195"/>
      <c r="K304" s="190"/>
      <c r="L304" s="189" t="s">
        <v>165</v>
      </c>
      <c r="M304" s="190"/>
      <c r="N304" s="190"/>
      <c r="O304" s="190"/>
      <c r="P304" s="190"/>
      <c r="Q304" s="190"/>
      <c r="R304" s="38"/>
    </row>
    <row r="305" spans="1:18" ht="15.75" customHeight="1">
      <c r="A305" s="193">
        <v>67</v>
      </c>
      <c r="B305" s="186">
        <v>1</v>
      </c>
      <c r="D305" s="35"/>
      <c r="E305" s="35">
        <v>126</v>
      </c>
      <c r="F305" s="35"/>
      <c r="G305" s="35"/>
      <c r="H305" s="35">
        <v>175</v>
      </c>
      <c r="I305" s="35"/>
      <c r="J305" s="35">
        <v>270.5</v>
      </c>
      <c r="K305" s="35"/>
      <c r="L305" s="132" t="s">
        <v>165</v>
      </c>
      <c r="M305" s="35"/>
      <c r="N305" s="35"/>
      <c r="O305" s="35"/>
      <c r="P305" s="35"/>
      <c r="Q305" s="35"/>
      <c r="R305" s="36">
        <v>62</v>
      </c>
    </row>
    <row r="306" spans="1:18" ht="15.75" customHeight="1">
      <c r="A306" s="193">
        <v>67</v>
      </c>
      <c r="B306" s="186">
        <v>2</v>
      </c>
      <c r="D306" s="35"/>
      <c r="E306" s="35">
        <v>125</v>
      </c>
      <c r="F306" s="35"/>
      <c r="G306" s="35"/>
      <c r="H306" s="35">
        <v>175</v>
      </c>
      <c r="I306" s="35"/>
      <c r="J306" s="35">
        <v>266</v>
      </c>
      <c r="K306" s="35"/>
      <c r="L306" s="132" t="s">
        <v>165</v>
      </c>
      <c r="M306" s="35"/>
      <c r="N306" s="35"/>
      <c r="O306" s="35"/>
      <c r="P306" s="35"/>
      <c r="Q306" s="35"/>
      <c r="R306" s="36">
        <v>62</v>
      </c>
    </row>
    <row r="307" spans="1:18" ht="15.75" customHeight="1">
      <c r="A307" s="193">
        <v>67</v>
      </c>
      <c r="B307" s="186">
        <v>3</v>
      </c>
      <c r="D307" s="35"/>
      <c r="E307" s="35">
        <v>123</v>
      </c>
      <c r="F307" s="35"/>
      <c r="G307" s="35"/>
      <c r="H307" s="35">
        <v>174</v>
      </c>
      <c r="I307" s="35"/>
      <c r="J307" s="35">
        <v>256</v>
      </c>
      <c r="K307" s="35"/>
      <c r="L307" s="132" t="s">
        <v>165</v>
      </c>
      <c r="M307" s="35"/>
      <c r="N307" s="35"/>
      <c r="O307" s="35"/>
      <c r="P307" s="35"/>
      <c r="Q307" s="35"/>
      <c r="R307" s="36">
        <v>64</v>
      </c>
    </row>
    <row r="308" spans="1:18" ht="15.75" customHeight="1">
      <c r="A308" s="193">
        <v>67</v>
      </c>
      <c r="B308" s="186">
        <v>4</v>
      </c>
      <c r="D308" s="35"/>
      <c r="E308" s="35">
        <v>121</v>
      </c>
      <c r="F308" s="35"/>
      <c r="G308" s="35"/>
      <c r="H308" s="35">
        <v>173</v>
      </c>
      <c r="I308" s="35"/>
      <c r="J308" s="35">
        <v>250.5</v>
      </c>
      <c r="K308" s="35"/>
      <c r="L308" s="132" t="s">
        <v>165</v>
      </c>
      <c r="M308" s="35"/>
      <c r="N308" s="35"/>
      <c r="O308" s="35"/>
      <c r="P308" s="35"/>
      <c r="Q308" s="35"/>
      <c r="R308" s="36">
        <v>63</v>
      </c>
    </row>
    <row r="309" spans="1:18" ht="15.75" customHeight="1">
      <c r="A309" s="193">
        <v>67</v>
      </c>
      <c r="B309" s="186">
        <v>5</v>
      </c>
      <c r="D309" s="35"/>
      <c r="E309" s="35">
        <v>121</v>
      </c>
      <c r="F309" s="35"/>
      <c r="G309" s="35"/>
      <c r="H309" s="35">
        <v>174</v>
      </c>
      <c r="I309" s="35"/>
      <c r="J309" s="35">
        <v>257.5</v>
      </c>
      <c r="K309" s="35"/>
      <c r="L309" s="132" t="s">
        <v>165</v>
      </c>
      <c r="M309" s="35"/>
      <c r="N309" s="35"/>
      <c r="O309" s="35"/>
      <c r="P309" s="35"/>
      <c r="Q309" s="35"/>
      <c r="R309" s="36">
        <v>63</v>
      </c>
    </row>
    <row r="310" spans="1:18" ht="15.75" customHeight="1">
      <c r="A310" s="193">
        <v>67</v>
      </c>
      <c r="B310" s="186">
        <v>6</v>
      </c>
      <c r="D310" s="35"/>
      <c r="E310" s="35">
        <v>119</v>
      </c>
      <c r="F310" s="35"/>
      <c r="G310" s="35"/>
      <c r="H310" s="35">
        <v>172</v>
      </c>
      <c r="I310" s="35"/>
      <c r="J310" s="35">
        <v>251.5</v>
      </c>
      <c r="K310" s="35"/>
      <c r="L310" s="132" t="s">
        <v>165</v>
      </c>
      <c r="M310" s="35"/>
      <c r="N310" s="35"/>
      <c r="O310" s="35"/>
      <c r="P310" s="35"/>
      <c r="Q310" s="35"/>
      <c r="R310" s="36">
        <v>62</v>
      </c>
    </row>
    <row r="311" spans="1:18" ht="15.75" customHeight="1">
      <c r="A311" s="193">
        <v>67</v>
      </c>
      <c r="B311" s="186">
        <v>7</v>
      </c>
      <c r="D311" s="35"/>
      <c r="E311" s="35">
        <v>120</v>
      </c>
      <c r="F311" s="35"/>
      <c r="G311" s="35"/>
      <c r="H311" s="35">
        <v>174</v>
      </c>
      <c r="I311" s="35"/>
      <c r="J311" s="35">
        <v>255.5</v>
      </c>
      <c r="K311" s="35"/>
      <c r="L311" s="132" t="s">
        <v>165</v>
      </c>
      <c r="M311" s="35"/>
      <c r="N311" s="35"/>
      <c r="O311" s="35"/>
      <c r="P311" s="35"/>
      <c r="Q311" s="35"/>
      <c r="R311" s="36">
        <v>63</v>
      </c>
    </row>
    <row r="312" spans="1:18" ht="15.75" customHeight="1">
      <c r="A312" s="193">
        <v>67</v>
      </c>
      <c r="B312" s="186">
        <v>8</v>
      </c>
      <c r="D312" s="35"/>
      <c r="E312" s="35">
        <v>122</v>
      </c>
      <c r="F312" s="35"/>
      <c r="G312" s="35"/>
      <c r="H312" s="35">
        <v>174</v>
      </c>
      <c r="I312" s="35"/>
      <c r="J312" s="35">
        <v>257</v>
      </c>
      <c r="K312" s="35"/>
      <c r="L312" s="132" t="s">
        <v>165</v>
      </c>
      <c r="M312" s="35"/>
      <c r="N312" s="35"/>
      <c r="O312" s="35"/>
      <c r="P312" s="35"/>
      <c r="Q312" s="35"/>
      <c r="R312" s="36">
        <v>66</v>
      </c>
    </row>
    <row r="313" spans="1:18" ht="15.75" customHeight="1">
      <c r="A313" s="193">
        <v>67</v>
      </c>
      <c r="B313" s="186">
        <v>9</v>
      </c>
      <c r="D313" s="35"/>
      <c r="E313" s="35">
        <v>122</v>
      </c>
      <c r="F313" s="35"/>
      <c r="G313" s="35"/>
      <c r="H313" s="35">
        <v>174</v>
      </c>
      <c r="I313" s="35"/>
      <c r="J313" s="35">
        <v>257.5</v>
      </c>
      <c r="K313" s="35"/>
      <c r="L313" s="132" t="s">
        <v>165</v>
      </c>
      <c r="M313" s="35"/>
      <c r="N313" s="35"/>
      <c r="O313" s="35"/>
      <c r="P313" s="35"/>
      <c r="Q313" s="35"/>
      <c r="R313" s="36">
        <v>65</v>
      </c>
    </row>
    <row r="314" spans="1:18" ht="15.75" customHeight="1">
      <c r="A314" s="191">
        <v>67</v>
      </c>
      <c r="B314" s="188">
        <v>10</v>
      </c>
      <c r="C314" s="195"/>
      <c r="D314" s="190"/>
      <c r="E314" s="190">
        <v>123</v>
      </c>
      <c r="F314" s="190"/>
      <c r="G314" s="190"/>
      <c r="H314" s="190">
        <v>175</v>
      </c>
      <c r="I314" s="190"/>
      <c r="J314" s="190">
        <v>261.5</v>
      </c>
      <c r="K314" s="190"/>
      <c r="L314" s="189" t="s">
        <v>165</v>
      </c>
      <c r="M314" s="190"/>
      <c r="N314" s="190"/>
      <c r="O314" s="190"/>
      <c r="P314" s="190"/>
      <c r="Q314" s="190"/>
      <c r="R314" s="38">
        <v>65</v>
      </c>
    </row>
    <row r="315" spans="1:18" ht="15.75" customHeight="1">
      <c r="A315" s="193">
        <v>68</v>
      </c>
      <c r="B315" s="186">
        <v>1</v>
      </c>
      <c r="R315" s="6"/>
    </row>
    <row r="316" spans="1:18" ht="15.75" customHeight="1">
      <c r="A316" s="193">
        <v>68</v>
      </c>
      <c r="B316" s="186">
        <v>2</v>
      </c>
      <c r="R316" s="6"/>
    </row>
    <row r="317" spans="1:18" ht="15.75" customHeight="1">
      <c r="A317" s="193">
        <v>68</v>
      </c>
      <c r="B317" s="186">
        <v>3</v>
      </c>
      <c r="R317" s="6"/>
    </row>
    <row r="318" spans="1:18" ht="15.75" customHeight="1">
      <c r="A318" s="191">
        <v>68</v>
      </c>
      <c r="B318" s="188">
        <v>4</v>
      </c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41"/>
    </row>
    <row r="319" spans="1:18" ht="15.75" customHeight="1">
      <c r="A319" s="193">
        <v>69</v>
      </c>
      <c r="B319" s="186">
        <v>1</v>
      </c>
      <c r="C319" s="132">
        <v>-1.3</v>
      </c>
      <c r="D319" s="35"/>
      <c r="E319" s="35"/>
      <c r="F319" s="35"/>
      <c r="G319" s="132">
        <v>53</v>
      </c>
      <c r="H319" s="132">
        <v>167.8</v>
      </c>
      <c r="I319" s="35"/>
      <c r="J319" s="132">
        <v>265.5</v>
      </c>
      <c r="K319" s="35"/>
      <c r="L319" s="132" t="s">
        <v>165</v>
      </c>
      <c r="M319" s="132">
        <v>74.099999999999994</v>
      </c>
      <c r="N319" s="35"/>
      <c r="O319" s="35"/>
      <c r="P319" s="35"/>
      <c r="Q319" s="132" t="s">
        <v>229</v>
      </c>
      <c r="R319" s="194">
        <v>50.8</v>
      </c>
    </row>
    <row r="320" spans="1:18" ht="15.75" customHeight="1">
      <c r="A320" s="193">
        <v>69</v>
      </c>
      <c r="B320" s="186">
        <v>2</v>
      </c>
      <c r="C320" s="132">
        <v>0.2</v>
      </c>
      <c r="D320" s="35"/>
      <c r="E320" s="35"/>
      <c r="F320" s="35"/>
      <c r="G320" s="132">
        <v>72.900000000000006</v>
      </c>
      <c r="H320" s="132">
        <v>167.7</v>
      </c>
      <c r="I320" s="35"/>
      <c r="J320" s="132">
        <v>265.10000000000002</v>
      </c>
      <c r="K320" s="35"/>
      <c r="L320" s="132" t="s">
        <v>165</v>
      </c>
      <c r="M320" s="132">
        <v>71.3</v>
      </c>
      <c r="N320" s="35"/>
      <c r="O320" s="35"/>
      <c r="P320" s="35"/>
      <c r="Q320" s="132" t="s">
        <v>229</v>
      </c>
      <c r="R320" s="194">
        <v>48.8</v>
      </c>
    </row>
    <row r="321" spans="1:18" ht="15.75" customHeight="1">
      <c r="A321" s="193">
        <v>69</v>
      </c>
      <c r="B321" s="186">
        <v>3</v>
      </c>
      <c r="C321" s="132">
        <v>1.3</v>
      </c>
      <c r="D321" s="35"/>
      <c r="E321" s="35"/>
      <c r="F321" s="35"/>
      <c r="G321" s="132">
        <v>69.400000000000006</v>
      </c>
      <c r="H321" s="132">
        <v>168.6</v>
      </c>
      <c r="I321" s="35"/>
      <c r="J321" s="132">
        <v>267.5</v>
      </c>
      <c r="K321" s="35"/>
      <c r="L321" s="132" t="s">
        <v>165</v>
      </c>
      <c r="M321" s="132">
        <v>65.099999999999994</v>
      </c>
      <c r="N321" s="35"/>
      <c r="O321" s="35"/>
      <c r="P321" s="35"/>
      <c r="Q321" s="132" t="s">
        <v>229</v>
      </c>
      <c r="R321" s="194">
        <v>44.6</v>
      </c>
    </row>
    <row r="322" spans="1:18" ht="15.75" customHeight="1">
      <c r="A322" s="191">
        <v>69</v>
      </c>
      <c r="B322" s="188">
        <v>4</v>
      </c>
      <c r="C322" s="189">
        <v>2</v>
      </c>
      <c r="D322" s="190"/>
      <c r="E322" s="190"/>
      <c r="F322" s="190"/>
      <c r="G322" s="189">
        <v>68.400000000000006</v>
      </c>
      <c r="H322" s="189">
        <v>169.2</v>
      </c>
      <c r="I322" s="190"/>
      <c r="J322" s="189">
        <v>266.5</v>
      </c>
      <c r="K322" s="190"/>
      <c r="L322" s="189" t="s">
        <v>165</v>
      </c>
      <c r="M322" s="189">
        <v>62.3</v>
      </c>
      <c r="N322" s="190"/>
      <c r="O322" s="190"/>
      <c r="P322" s="190"/>
      <c r="Q322" s="189" t="s">
        <v>229</v>
      </c>
      <c r="R322" s="196">
        <v>42.7</v>
      </c>
    </row>
    <row r="323" spans="1:18" ht="15.75" customHeight="1">
      <c r="A323" s="193">
        <v>70</v>
      </c>
      <c r="B323" s="186">
        <v>1</v>
      </c>
      <c r="C323" s="35"/>
      <c r="D323" s="35"/>
      <c r="E323" s="132">
        <v>117.2</v>
      </c>
      <c r="F323" s="35"/>
      <c r="G323" s="35"/>
      <c r="H323" s="132">
        <v>173.2</v>
      </c>
      <c r="I323" s="132">
        <v>170.3</v>
      </c>
      <c r="J323" s="132">
        <v>219.32</v>
      </c>
      <c r="K323" s="35"/>
      <c r="L323" s="132" t="s">
        <v>165</v>
      </c>
      <c r="M323" s="132">
        <v>106.9</v>
      </c>
      <c r="N323" s="132">
        <v>107.5</v>
      </c>
      <c r="O323" s="132">
        <v>97.1</v>
      </c>
      <c r="P323" s="35"/>
      <c r="Q323" s="132" t="s">
        <v>229</v>
      </c>
      <c r="R323" s="194">
        <v>49</v>
      </c>
    </row>
    <row r="324" spans="1:18" ht="15.75" customHeight="1">
      <c r="A324" s="193">
        <v>70</v>
      </c>
      <c r="B324" s="186">
        <v>2</v>
      </c>
      <c r="C324" s="35"/>
      <c r="D324" s="35"/>
      <c r="E324" s="132">
        <v>113.5</v>
      </c>
      <c r="F324" s="35"/>
      <c r="G324" s="35"/>
      <c r="H324" s="132">
        <v>172.1</v>
      </c>
      <c r="I324" s="132">
        <v>169.7</v>
      </c>
      <c r="J324" s="132">
        <v>250.32</v>
      </c>
      <c r="K324" s="35"/>
      <c r="L324" s="132" t="s">
        <v>165</v>
      </c>
      <c r="M324" s="132">
        <v>97.8</v>
      </c>
      <c r="N324" s="132">
        <v>101.3</v>
      </c>
      <c r="O324" s="132">
        <v>91.5</v>
      </c>
      <c r="P324" s="35"/>
      <c r="Q324" s="132" t="s">
        <v>229</v>
      </c>
      <c r="R324" s="194">
        <v>48</v>
      </c>
    </row>
    <row r="325" spans="1:18" ht="15.75" customHeight="1">
      <c r="A325" s="193">
        <v>70</v>
      </c>
      <c r="B325" s="186">
        <v>3</v>
      </c>
      <c r="C325" s="35"/>
      <c r="D325" s="35"/>
      <c r="E325" s="132">
        <v>109.9</v>
      </c>
      <c r="F325" s="35"/>
      <c r="G325" s="35"/>
      <c r="H325" s="132">
        <v>172</v>
      </c>
      <c r="I325" s="132">
        <v>168.8</v>
      </c>
      <c r="J325" s="132">
        <v>266.64</v>
      </c>
      <c r="K325" s="35"/>
      <c r="L325" s="132" t="s">
        <v>165</v>
      </c>
      <c r="M325" s="132">
        <v>109.3</v>
      </c>
      <c r="N325" s="132">
        <v>106.6</v>
      </c>
      <c r="O325" s="132">
        <v>95.3</v>
      </c>
      <c r="P325" s="35"/>
      <c r="Q325" s="132" t="s">
        <v>229</v>
      </c>
      <c r="R325" s="194">
        <v>46</v>
      </c>
    </row>
    <row r="326" spans="1:18" ht="15.75" customHeight="1">
      <c r="A326" s="193">
        <v>70</v>
      </c>
      <c r="B326" s="186">
        <v>4</v>
      </c>
      <c r="C326" s="35"/>
      <c r="D326" s="35"/>
      <c r="E326" s="132">
        <v>109.4</v>
      </c>
      <c r="F326" s="35"/>
      <c r="G326" s="35"/>
      <c r="H326" s="132">
        <v>171.2</v>
      </c>
      <c r="I326" s="132">
        <v>170.3</v>
      </c>
      <c r="J326" s="132">
        <v>223.38</v>
      </c>
      <c r="K326" s="35"/>
      <c r="L326" s="132" t="s">
        <v>165</v>
      </c>
      <c r="M326" s="132">
        <v>91.7</v>
      </c>
      <c r="N326" s="132">
        <v>90</v>
      </c>
      <c r="O326" s="132">
        <v>81.2</v>
      </c>
      <c r="P326" s="35"/>
      <c r="Q326" s="132" t="s">
        <v>229</v>
      </c>
      <c r="R326" s="194">
        <v>42</v>
      </c>
    </row>
    <row r="327" spans="1:18" ht="15.75" customHeight="1">
      <c r="A327" s="193">
        <v>70</v>
      </c>
      <c r="B327" s="186">
        <v>5</v>
      </c>
      <c r="C327" s="35"/>
      <c r="D327" s="35"/>
      <c r="E327" s="132">
        <v>113.1</v>
      </c>
      <c r="F327" s="35"/>
      <c r="G327" s="35"/>
      <c r="H327" s="132">
        <v>173.2</v>
      </c>
      <c r="I327" s="132">
        <v>171.5</v>
      </c>
      <c r="J327" s="132">
        <v>255.24</v>
      </c>
      <c r="K327" s="35"/>
      <c r="L327" s="132" t="s">
        <v>165</v>
      </c>
      <c r="M327" s="132">
        <v>94.8</v>
      </c>
      <c r="N327" s="132">
        <v>96.1</v>
      </c>
      <c r="O327" s="132">
        <v>93.5</v>
      </c>
      <c r="P327" s="35"/>
      <c r="Q327" s="132" t="s">
        <v>229</v>
      </c>
      <c r="R327" s="194">
        <v>50</v>
      </c>
    </row>
    <row r="328" spans="1:18" ht="15.75" customHeight="1">
      <c r="A328" s="193">
        <v>70</v>
      </c>
      <c r="B328" s="186">
        <v>6</v>
      </c>
      <c r="C328" s="35"/>
      <c r="D328" s="35"/>
      <c r="E328" s="132">
        <v>111.5</v>
      </c>
      <c r="F328" s="35"/>
      <c r="G328" s="35"/>
      <c r="H328" s="132">
        <v>172.5</v>
      </c>
      <c r="I328" s="132">
        <v>168.6</v>
      </c>
      <c r="J328" s="132">
        <v>249.58</v>
      </c>
      <c r="K328" s="35"/>
      <c r="L328" s="132" t="s">
        <v>165</v>
      </c>
      <c r="M328" s="132">
        <v>75.599999999999994</v>
      </c>
      <c r="N328" s="132">
        <v>78.900000000000006</v>
      </c>
      <c r="O328" s="132">
        <v>81.5</v>
      </c>
      <c r="P328" s="35"/>
      <c r="Q328" s="132" t="s">
        <v>229</v>
      </c>
      <c r="R328" s="194">
        <v>48</v>
      </c>
    </row>
    <row r="329" spans="1:18" ht="15.75" customHeight="1">
      <c r="A329" s="191">
        <v>70</v>
      </c>
      <c r="B329" s="188">
        <v>7</v>
      </c>
      <c r="C329" s="190"/>
      <c r="D329" s="190"/>
      <c r="E329" s="189">
        <v>111</v>
      </c>
      <c r="F329" s="190"/>
      <c r="G329" s="190"/>
      <c r="H329" s="189">
        <v>171.3</v>
      </c>
      <c r="I329" s="189">
        <v>168.2</v>
      </c>
      <c r="J329" s="189">
        <v>251.64</v>
      </c>
      <c r="K329" s="190"/>
      <c r="L329" s="189" t="s">
        <v>165</v>
      </c>
      <c r="M329" s="189">
        <v>95.9</v>
      </c>
      <c r="N329" s="189">
        <v>90.8</v>
      </c>
      <c r="O329" s="189">
        <v>82.5</v>
      </c>
      <c r="P329" s="190"/>
      <c r="Q329" s="189" t="s">
        <v>229</v>
      </c>
      <c r="R329" s="196">
        <v>45</v>
      </c>
    </row>
    <row r="330" spans="1:18" ht="15.75" customHeight="1">
      <c r="A330" s="193">
        <v>71</v>
      </c>
      <c r="B330" s="186">
        <v>1</v>
      </c>
      <c r="C330" s="132">
        <v>4.5</v>
      </c>
      <c r="D330" s="35"/>
      <c r="E330" s="132">
        <v>91</v>
      </c>
      <c r="F330" s="35"/>
      <c r="G330" s="35"/>
      <c r="H330" s="132">
        <v>170</v>
      </c>
      <c r="I330" s="35"/>
      <c r="J330" s="35"/>
      <c r="K330" s="35"/>
      <c r="L330" s="132" t="s">
        <v>165</v>
      </c>
      <c r="M330" s="35"/>
      <c r="N330" s="35"/>
      <c r="O330" s="35"/>
      <c r="P330" s="35"/>
      <c r="Q330" s="35"/>
      <c r="R330" s="194">
        <v>64.3</v>
      </c>
    </row>
    <row r="331" spans="1:18" ht="15.75" customHeight="1">
      <c r="A331" s="193">
        <v>71</v>
      </c>
      <c r="B331" s="186">
        <v>2</v>
      </c>
      <c r="C331" s="132">
        <v>5.7</v>
      </c>
      <c r="D331" s="35"/>
      <c r="E331" s="132">
        <v>109</v>
      </c>
      <c r="F331" s="35"/>
      <c r="G331" s="35"/>
      <c r="H331" s="132">
        <v>166</v>
      </c>
      <c r="I331" s="35"/>
      <c r="J331" s="35"/>
      <c r="K331" s="35"/>
      <c r="L331" s="132" t="s">
        <v>165</v>
      </c>
      <c r="M331" s="35"/>
      <c r="N331" s="35"/>
      <c r="O331" s="35"/>
      <c r="P331" s="35"/>
      <c r="Q331" s="35"/>
      <c r="R331" s="194">
        <v>60.8</v>
      </c>
    </row>
    <row r="332" spans="1:18" ht="15.75" customHeight="1">
      <c r="A332" s="193">
        <v>71</v>
      </c>
      <c r="B332" s="186">
        <v>3</v>
      </c>
      <c r="C332" s="132">
        <v>5.5</v>
      </c>
      <c r="D332" s="35"/>
      <c r="E332" s="132">
        <v>93</v>
      </c>
      <c r="F332" s="35"/>
      <c r="G332" s="35"/>
      <c r="H332" s="132">
        <v>168</v>
      </c>
      <c r="I332" s="132">
        <v>174</v>
      </c>
      <c r="J332" s="35"/>
      <c r="K332" s="35"/>
      <c r="L332" s="132" t="s">
        <v>165</v>
      </c>
      <c r="M332" s="35"/>
      <c r="N332" s="35"/>
      <c r="O332" s="35"/>
      <c r="P332" s="35"/>
      <c r="Q332" s="35"/>
      <c r="R332" s="194">
        <v>62.4</v>
      </c>
    </row>
    <row r="333" spans="1:18" ht="15.75" customHeight="1">
      <c r="A333" s="193">
        <v>71</v>
      </c>
      <c r="B333" s="186">
        <v>4</v>
      </c>
      <c r="C333" s="132">
        <v>6.3</v>
      </c>
      <c r="D333" s="35"/>
      <c r="E333" s="132">
        <v>114</v>
      </c>
      <c r="F333" s="35"/>
      <c r="G333" s="35"/>
      <c r="H333" s="132">
        <v>167</v>
      </c>
      <c r="I333" s="132">
        <v>171</v>
      </c>
      <c r="J333" s="35"/>
      <c r="K333" s="35"/>
      <c r="L333" s="132" t="s">
        <v>165</v>
      </c>
      <c r="M333" s="35"/>
      <c r="N333" s="35"/>
      <c r="O333" s="35"/>
      <c r="P333" s="35"/>
      <c r="Q333" s="35"/>
      <c r="R333" s="194">
        <v>56.2</v>
      </c>
    </row>
    <row r="334" spans="1:18" ht="15.75" customHeight="1">
      <c r="A334" s="193">
        <v>71</v>
      </c>
      <c r="B334" s="186">
        <v>5</v>
      </c>
      <c r="C334" s="132">
        <v>7</v>
      </c>
      <c r="D334" s="35"/>
      <c r="E334" s="132">
        <v>112</v>
      </c>
      <c r="F334" s="35"/>
      <c r="G334" s="35"/>
      <c r="H334" s="132">
        <v>167</v>
      </c>
      <c r="I334" s="132">
        <v>171</v>
      </c>
      <c r="J334" s="35"/>
      <c r="K334" s="35"/>
      <c r="L334" s="132" t="s">
        <v>165</v>
      </c>
      <c r="M334" s="35"/>
      <c r="N334" s="35"/>
      <c r="O334" s="35"/>
      <c r="P334" s="35"/>
      <c r="Q334" s="35"/>
      <c r="R334" s="194">
        <v>55.8</v>
      </c>
    </row>
    <row r="335" spans="1:18" ht="15.75" customHeight="1">
      <c r="A335" s="193">
        <v>71</v>
      </c>
      <c r="B335" s="186">
        <v>6</v>
      </c>
      <c r="C335" s="132">
        <v>7.1</v>
      </c>
      <c r="D335" s="35"/>
      <c r="E335" s="132">
        <v>111</v>
      </c>
      <c r="F335" s="35"/>
      <c r="G335" s="35"/>
      <c r="H335" s="132">
        <v>164</v>
      </c>
      <c r="I335" s="132">
        <v>167</v>
      </c>
      <c r="J335" s="35"/>
      <c r="K335" s="35"/>
      <c r="L335" s="132" t="s">
        <v>165</v>
      </c>
      <c r="M335" s="35"/>
      <c r="N335" s="35"/>
      <c r="O335" s="35"/>
      <c r="P335" s="35"/>
      <c r="Q335" s="35"/>
      <c r="R335" s="194">
        <v>52.4</v>
      </c>
    </row>
    <row r="336" spans="1:18" ht="15.75" customHeight="1">
      <c r="A336" s="191">
        <v>71</v>
      </c>
      <c r="B336" s="188">
        <v>7</v>
      </c>
      <c r="C336" s="189">
        <v>6.7</v>
      </c>
      <c r="D336" s="190"/>
      <c r="E336" s="189">
        <v>111</v>
      </c>
      <c r="F336" s="190"/>
      <c r="G336" s="190"/>
      <c r="H336" s="189">
        <v>166</v>
      </c>
      <c r="I336" s="189">
        <v>171</v>
      </c>
      <c r="J336" s="190"/>
      <c r="K336" s="190"/>
      <c r="L336" s="189" t="s">
        <v>165</v>
      </c>
      <c r="M336" s="190"/>
      <c r="N336" s="190"/>
      <c r="O336" s="190"/>
      <c r="P336" s="190"/>
      <c r="Q336" s="190"/>
      <c r="R336" s="196">
        <v>53.9</v>
      </c>
    </row>
    <row r="337" spans="1:18" ht="15.75" customHeight="1">
      <c r="A337" s="193">
        <v>72</v>
      </c>
      <c r="B337" s="186">
        <v>1</v>
      </c>
      <c r="C337" s="35"/>
      <c r="D337" s="35"/>
      <c r="E337" s="132">
        <v>108.6</v>
      </c>
      <c r="F337" s="35"/>
      <c r="G337" s="132">
        <v>108.6</v>
      </c>
      <c r="H337" s="132">
        <v>154.1</v>
      </c>
      <c r="I337" s="132">
        <v>162.4</v>
      </c>
      <c r="J337" s="132">
        <v>231.6</v>
      </c>
      <c r="K337" s="35"/>
      <c r="L337" s="132" t="s">
        <v>165</v>
      </c>
      <c r="M337" s="35"/>
      <c r="N337" s="35"/>
      <c r="O337" s="35"/>
      <c r="P337" s="35"/>
      <c r="Q337" s="35"/>
      <c r="R337" s="194">
        <v>46.1</v>
      </c>
    </row>
    <row r="338" spans="1:18" ht="15.75" customHeight="1">
      <c r="A338" s="193">
        <v>72</v>
      </c>
      <c r="B338" s="186">
        <v>2</v>
      </c>
      <c r="C338" s="35"/>
      <c r="D338" s="35"/>
      <c r="E338" s="132">
        <v>105.7</v>
      </c>
      <c r="F338" s="35"/>
      <c r="G338" s="132">
        <v>105.7</v>
      </c>
      <c r="H338" s="132">
        <v>154.4</v>
      </c>
      <c r="I338" s="132">
        <v>162.69999999999999</v>
      </c>
      <c r="J338" s="132">
        <v>235</v>
      </c>
      <c r="K338" s="35"/>
      <c r="L338" s="132" t="s">
        <v>165</v>
      </c>
      <c r="M338" s="35"/>
      <c r="N338" s="35"/>
      <c r="O338" s="35"/>
      <c r="P338" s="35"/>
      <c r="Q338" s="35"/>
      <c r="R338" s="194">
        <v>46.3</v>
      </c>
    </row>
    <row r="339" spans="1:18" ht="15.75" customHeight="1">
      <c r="A339" s="193">
        <v>72</v>
      </c>
      <c r="B339" s="186">
        <v>3</v>
      </c>
      <c r="C339" s="35"/>
      <c r="D339" s="35"/>
      <c r="E339" s="132">
        <v>106.3</v>
      </c>
      <c r="F339" s="35"/>
      <c r="G339" s="132">
        <v>106.3</v>
      </c>
      <c r="H339" s="132">
        <v>152.6</v>
      </c>
      <c r="I339" s="132">
        <v>164.2</v>
      </c>
      <c r="J339" s="132">
        <v>243.8</v>
      </c>
      <c r="K339" s="35"/>
      <c r="L339" s="132" t="s">
        <v>165</v>
      </c>
      <c r="M339" s="35"/>
      <c r="N339" s="35"/>
      <c r="O339" s="35"/>
      <c r="P339" s="35"/>
      <c r="Q339" s="35"/>
      <c r="R339" s="194">
        <v>48.1</v>
      </c>
    </row>
    <row r="340" spans="1:18" ht="15.75" customHeight="1">
      <c r="A340" s="193">
        <v>72</v>
      </c>
      <c r="B340" s="186">
        <v>4</v>
      </c>
      <c r="C340" s="35"/>
      <c r="D340" s="35"/>
      <c r="E340" s="132">
        <v>108.3</v>
      </c>
      <c r="F340" s="35"/>
      <c r="G340" s="132">
        <v>108.3</v>
      </c>
      <c r="H340" s="132">
        <v>152</v>
      </c>
      <c r="I340" s="132">
        <v>162.9</v>
      </c>
      <c r="J340" s="132">
        <v>223</v>
      </c>
      <c r="K340" s="35"/>
      <c r="L340" s="132" t="s">
        <v>165</v>
      </c>
      <c r="M340" s="35"/>
      <c r="N340" s="35"/>
      <c r="O340" s="35"/>
      <c r="P340" s="35"/>
      <c r="Q340" s="35"/>
      <c r="R340" s="194">
        <v>47.7</v>
      </c>
    </row>
    <row r="341" spans="1:18" ht="15.75" customHeight="1">
      <c r="A341" s="191">
        <v>72</v>
      </c>
      <c r="B341" s="188">
        <v>5</v>
      </c>
      <c r="C341" s="190"/>
      <c r="D341" s="190"/>
      <c r="E341" s="189">
        <v>108.4</v>
      </c>
      <c r="F341" s="190"/>
      <c r="G341" s="189">
        <v>108.4</v>
      </c>
      <c r="H341" s="189">
        <v>155.30000000000001</v>
      </c>
      <c r="I341" s="189">
        <v>163.30000000000001</v>
      </c>
      <c r="J341" s="189">
        <v>222.8</v>
      </c>
      <c r="K341" s="190"/>
      <c r="L341" s="189" t="s">
        <v>165</v>
      </c>
      <c r="M341" s="190"/>
      <c r="N341" s="190"/>
      <c r="O341" s="190"/>
      <c r="P341" s="190"/>
      <c r="Q341" s="190"/>
      <c r="R341" s="196">
        <v>47.5</v>
      </c>
    </row>
    <row r="342" spans="1:18" ht="15.75" customHeight="1">
      <c r="A342" s="193">
        <v>73</v>
      </c>
      <c r="B342" s="186">
        <v>1</v>
      </c>
      <c r="C342" s="132">
        <v>7.6</v>
      </c>
      <c r="D342" s="35"/>
      <c r="E342" s="132">
        <v>69</v>
      </c>
      <c r="F342" s="35"/>
      <c r="G342" s="35"/>
      <c r="H342" s="132">
        <v>177</v>
      </c>
      <c r="I342" s="35"/>
      <c r="J342" s="35"/>
      <c r="K342" s="35"/>
      <c r="L342" s="132" t="s">
        <v>165</v>
      </c>
      <c r="M342" s="132">
        <v>71.099999999999994</v>
      </c>
      <c r="N342" s="35"/>
      <c r="O342" s="132">
        <v>70.3</v>
      </c>
      <c r="P342" s="35"/>
      <c r="Q342" s="132" t="s">
        <v>229</v>
      </c>
      <c r="R342" s="36"/>
    </row>
    <row r="343" spans="1:18" ht="15.75" customHeight="1">
      <c r="A343" s="193">
        <v>73</v>
      </c>
      <c r="B343" s="186">
        <v>2</v>
      </c>
      <c r="C343" s="132">
        <v>10</v>
      </c>
      <c r="D343" s="35"/>
      <c r="E343" s="132">
        <v>74</v>
      </c>
      <c r="F343" s="35"/>
      <c r="G343" s="35"/>
      <c r="H343" s="132">
        <v>175</v>
      </c>
      <c r="I343" s="35"/>
      <c r="J343" s="35"/>
      <c r="K343" s="35"/>
      <c r="L343" s="132" t="s">
        <v>165</v>
      </c>
      <c r="M343" s="132">
        <v>64.2</v>
      </c>
      <c r="N343" s="35"/>
      <c r="O343" s="132">
        <v>62.7</v>
      </c>
      <c r="P343" s="35"/>
      <c r="Q343" s="132" t="s">
        <v>229</v>
      </c>
      <c r="R343" s="36"/>
    </row>
    <row r="344" spans="1:18" ht="15.75" customHeight="1">
      <c r="A344" s="193">
        <v>73</v>
      </c>
      <c r="B344" s="186">
        <v>3</v>
      </c>
      <c r="C344" s="132">
        <v>11.6</v>
      </c>
      <c r="D344" s="35"/>
      <c r="E344" s="132">
        <v>81</v>
      </c>
      <c r="F344" s="35"/>
      <c r="G344" s="35"/>
      <c r="H344" s="132">
        <v>175</v>
      </c>
      <c r="I344" s="35"/>
      <c r="J344" s="35"/>
      <c r="K344" s="35"/>
      <c r="L344" s="132" t="s">
        <v>165</v>
      </c>
      <c r="M344" s="132">
        <v>53.1</v>
      </c>
      <c r="N344" s="35"/>
      <c r="O344" s="132">
        <v>51.6</v>
      </c>
      <c r="P344" s="35"/>
      <c r="Q344" s="132" t="s">
        <v>229</v>
      </c>
      <c r="R344" s="36"/>
    </row>
    <row r="345" spans="1:18" ht="15.75" customHeight="1">
      <c r="A345" s="193">
        <v>73</v>
      </c>
      <c r="B345" s="186">
        <v>4</v>
      </c>
      <c r="C345" s="132">
        <v>4.3</v>
      </c>
      <c r="D345" s="35"/>
      <c r="E345" s="132">
        <v>63</v>
      </c>
      <c r="F345" s="35"/>
      <c r="G345" s="35"/>
      <c r="H345" s="132">
        <v>170</v>
      </c>
      <c r="I345" s="35"/>
      <c r="J345" s="35"/>
      <c r="K345" s="35"/>
      <c r="L345" s="132" t="s">
        <v>165</v>
      </c>
      <c r="M345" s="132">
        <v>75.400000000000006</v>
      </c>
      <c r="N345" s="35"/>
      <c r="O345" s="132">
        <v>73.7</v>
      </c>
      <c r="P345" s="35"/>
      <c r="Q345" s="132" t="s">
        <v>229</v>
      </c>
      <c r="R345" s="36"/>
    </row>
    <row r="346" spans="1:18" ht="15.75" customHeight="1">
      <c r="A346" s="193">
        <v>73</v>
      </c>
      <c r="B346" s="186">
        <v>5</v>
      </c>
      <c r="C346" s="132">
        <v>2.4</v>
      </c>
      <c r="D346" s="35"/>
      <c r="E346" s="132">
        <v>75</v>
      </c>
      <c r="F346" s="35"/>
      <c r="G346" s="35"/>
      <c r="H346" s="132">
        <v>161</v>
      </c>
      <c r="I346" s="35"/>
      <c r="J346" s="35"/>
      <c r="K346" s="35"/>
      <c r="L346" s="132" t="s">
        <v>165</v>
      </c>
      <c r="M346" s="132">
        <v>66.7</v>
      </c>
      <c r="N346" s="35"/>
      <c r="O346" s="132">
        <v>64.599999999999994</v>
      </c>
      <c r="P346" s="35"/>
      <c r="Q346" s="132" t="s">
        <v>229</v>
      </c>
      <c r="R346" s="36"/>
    </row>
    <row r="347" spans="1:18" ht="15.75" customHeight="1">
      <c r="A347" s="191">
        <v>73</v>
      </c>
      <c r="B347" s="188">
        <v>6</v>
      </c>
      <c r="C347" s="189">
        <v>1.8</v>
      </c>
      <c r="D347" s="190"/>
      <c r="E347" s="189">
        <v>80</v>
      </c>
      <c r="F347" s="190"/>
      <c r="G347" s="190"/>
      <c r="H347" s="189">
        <v>156</v>
      </c>
      <c r="I347" s="190"/>
      <c r="J347" s="190"/>
      <c r="K347" s="190"/>
      <c r="L347" s="189" t="s">
        <v>165</v>
      </c>
      <c r="M347" s="189">
        <v>52.7</v>
      </c>
      <c r="N347" s="190"/>
      <c r="O347" s="189">
        <v>50.8</v>
      </c>
      <c r="P347" s="190"/>
      <c r="Q347" s="189" t="s">
        <v>229</v>
      </c>
      <c r="R347" s="38"/>
    </row>
    <row r="348" spans="1:18" ht="15.75" customHeight="1">
      <c r="A348" s="193">
        <v>74</v>
      </c>
      <c r="B348" s="186">
        <v>1</v>
      </c>
      <c r="C348" s="35"/>
      <c r="D348" s="35"/>
      <c r="E348" s="35"/>
      <c r="F348" s="35"/>
      <c r="G348" s="132">
        <v>107.7</v>
      </c>
      <c r="H348" s="132">
        <v>173.4</v>
      </c>
      <c r="I348" s="35"/>
      <c r="J348" s="35"/>
      <c r="K348" s="35"/>
      <c r="L348" s="132" t="s">
        <v>165</v>
      </c>
      <c r="M348" s="132">
        <v>86.5</v>
      </c>
      <c r="N348" s="35"/>
      <c r="O348" s="35"/>
      <c r="P348" s="35"/>
      <c r="Q348" s="132" t="s">
        <v>229</v>
      </c>
      <c r="R348" s="194">
        <v>59.2</v>
      </c>
    </row>
    <row r="349" spans="1:18" ht="15.75" customHeight="1">
      <c r="A349" s="193">
        <v>74</v>
      </c>
      <c r="B349" s="186">
        <v>2</v>
      </c>
      <c r="C349" s="35"/>
      <c r="D349" s="35"/>
      <c r="E349" s="35"/>
      <c r="F349" s="35"/>
      <c r="G349" s="132">
        <v>113.6</v>
      </c>
      <c r="H349" s="132">
        <v>175.4</v>
      </c>
      <c r="I349" s="35"/>
      <c r="J349" s="35"/>
      <c r="K349" s="35"/>
      <c r="L349" s="132" t="s">
        <v>165</v>
      </c>
      <c r="M349" s="132">
        <v>87.3</v>
      </c>
      <c r="N349" s="35"/>
      <c r="O349" s="35"/>
      <c r="P349" s="35"/>
      <c r="Q349" s="132" t="s">
        <v>229</v>
      </c>
      <c r="R349" s="194">
        <v>59.8</v>
      </c>
    </row>
    <row r="350" spans="1:18" ht="15.75" customHeight="1">
      <c r="A350" s="193">
        <v>74</v>
      </c>
      <c r="B350" s="186">
        <v>3</v>
      </c>
      <c r="C350" s="35"/>
      <c r="D350" s="35"/>
      <c r="E350" s="35"/>
      <c r="F350" s="35"/>
      <c r="G350" s="35"/>
      <c r="H350" s="132">
        <v>136.6</v>
      </c>
      <c r="I350" s="132">
        <v>151.19999999999999</v>
      </c>
      <c r="J350" s="35"/>
      <c r="K350" s="35"/>
      <c r="L350" s="132" t="s">
        <v>165</v>
      </c>
      <c r="M350" s="132">
        <v>52.3</v>
      </c>
      <c r="N350" s="35"/>
      <c r="O350" s="35"/>
      <c r="P350" s="35"/>
      <c r="Q350" s="132" t="s">
        <v>229</v>
      </c>
      <c r="R350" s="194">
        <v>35.799999999999997</v>
      </c>
    </row>
    <row r="351" spans="1:18" ht="15.75" customHeight="1">
      <c r="A351" s="193">
        <v>74</v>
      </c>
      <c r="B351" s="186">
        <v>4</v>
      </c>
      <c r="C351" s="35"/>
      <c r="D351" s="35"/>
      <c r="E351" s="35"/>
      <c r="F351" s="35"/>
      <c r="G351" s="132">
        <v>91.4</v>
      </c>
      <c r="H351" s="132">
        <v>143.6</v>
      </c>
      <c r="I351" s="132">
        <v>154.4</v>
      </c>
      <c r="J351" s="35"/>
      <c r="K351" s="35"/>
      <c r="L351" s="132" t="s">
        <v>165</v>
      </c>
      <c r="M351" s="132">
        <v>56.5</v>
      </c>
      <c r="N351" s="35"/>
      <c r="O351" s="35"/>
      <c r="P351" s="35"/>
      <c r="Q351" s="132" t="s">
        <v>229</v>
      </c>
      <c r="R351" s="194">
        <v>38.700000000000003</v>
      </c>
    </row>
    <row r="352" spans="1:18" ht="15.75" customHeight="1">
      <c r="A352" s="193">
        <v>74</v>
      </c>
      <c r="B352" s="186">
        <v>5</v>
      </c>
      <c r="C352" s="35"/>
      <c r="D352" s="35"/>
      <c r="E352" s="35"/>
      <c r="F352" s="35"/>
      <c r="G352" s="132">
        <v>84.2</v>
      </c>
      <c r="H352" s="132">
        <v>141.69999999999999</v>
      </c>
      <c r="I352" s="132">
        <v>153.4</v>
      </c>
      <c r="J352" s="35"/>
      <c r="K352" s="35"/>
      <c r="L352" s="132" t="s">
        <v>165</v>
      </c>
      <c r="M352" s="132">
        <v>54.6</v>
      </c>
      <c r="N352" s="35"/>
      <c r="O352" s="35"/>
      <c r="P352" s="35"/>
      <c r="Q352" s="132" t="s">
        <v>229</v>
      </c>
      <c r="R352" s="194">
        <v>37.4</v>
      </c>
    </row>
    <row r="353" spans="1:18" ht="15.75" customHeight="1">
      <c r="A353" s="193">
        <v>74</v>
      </c>
      <c r="B353" s="186">
        <v>6</v>
      </c>
      <c r="C353" s="35"/>
      <c r="D353" s="35"/>
      <c r="E353" s="35"/>
      <c r="F353" s="35"/>
      <c r="G353" s="132">
        <v>82.5</v>
      </c>
      <c r="H353" s="132">
        <v>141.9</v>
      </c>
      <c r="I353" s="132">
        <v>153.5</v>
      </c>
      <c r="J353" s="35"/>
      <c r="K353" s="35"/>
      <c r="L353" s="132" t="s">
        <v>165</v>
      </c>
      <c r="M353" s="132">
        <v>53.9</v>
      </c>
      <c r="N353" s="35"/>
      <c r="O353" s="35"/>
      <c r="P353" s="35"/>
      <c r="Q353" s="132" t="s">
        <v>229</v>
      </c>
      <c r="R353" s="194">
        <v>36.9</v>
      </c>
    </row>
    <row r="354" spans="1:18" ht="15.75" customHeight="1">
      <c r="A354" s="191">
        <v>74</v>
      </c>
      <c r="B354" s="188">
        <v>7</v>
      </c>
      <c r="C354" s="190"/>
      <c r="D354" s="190"/>
      <c r="E354" s="190"/>
      <c r="F354" s="190"/>
      <c r="G354" s="189">
        <v>86.4</v>
      </c>
      <c r="H354" s="189">
        <v>143.1</v>
      </c>
      <c r="I354" s="189">
        <v>154.1</v>
      </c>
      <c r="J354" s="190"/>
      <c r="K354" s="190"/>
      <c r="L354" s="189" t="s">
        <v>165</v>
      </c>
      <c r="M354" s="189">
        <v>55</v>
      </c>
      <c r="N354" s="190"/>
      <c r="O354" s="190"/>
      <c r="P354" s="190"/>
      <c r="Q354" s="189" t="s">
        <v>229</v>
      </c>
      <c r="R354" s="196">
        <v>37.700000000000003</v>
      </c>
    </row>
    <row r="355" spans="1:18" ht="15.75" customHeight="1">
      <c r="A355" s="193">
        <v>75</v>
      </c>
      <c r="B355" s="186">
        <v>1</v>
      </c>
      <c r="C355" s="132"/>
      <c r="D355" s="35"/>
      <c r="E355" s="132">
        <v>91</v>
      </c>
      <c r="F355" s="35"/>
      <c r="G355" s="35"/>
      <c r="H355" s="35"/>
      <c r="I355" s="132">
        <v>170</v>
      </c>
      <c r="J355" s="35"/>
      <c r="K355" s="35"/>
      <c r="L355" s="132" t="s">
        <v>165</v>
      </c>
      <c r="M355" s="35"/>
      <c r="N355" s="35"/>
      <c r="O355" s="132">
        <v>74</v>
      </c>
      <c r="P355" s="35"/>
      <c r="Q355" s="132" t="s">
        <v>229</v>
      </c>
      <c r="R355" s="194">
        <v>64.3</v>
      </c>
    </row>
    <row r="356" spans="1:18" ht="15.75" customHeight="1">
      <c r="A356" s="193">
        <v>75</v>
      </c>
      <c r="B356" s="186">
        <v>2</v>
      </c>
      <c r="C356" s="132"/>
      <c r="D356" s="35"/>
      <c r="E356" s="132">
        <v>71</v>
      </c>
      <c r="F356" s="35"/>
      <c r="G356" s="35"/>
      <c r="H356" s="132">
        <v>163</v>
      </c>
      <c r="I356" s="132">
        <v>172</v>
      </c>
      <c r="J356" s="35"/>
      <c r="K356" s="35"/>
      <c r="L356" s="132" t="s">
        <v>165</v>
      </c>
      <c r="M356" s="35"/>
      <c r="N356" s="35"/>
      <c r="O356" s="132">
        <v>47</v>
      </c>
      <c r="P356" s="35"/>
      <c r="Q356" s="132" t="s">
        <v>229</v>
      </c>
      <c r="R356" s="194">
        <v>62.3</v>
      </c>
    </row>
    <row r="357" spans="1:18" ht="15.75" customHeight="1">
      <c r="A357" s="193">
        <v>75</v>
      </c>
      <c r="B357" s="186">
        <v>3</v>
      </c>
      <c r="C357" s="132"/>
      <c r="D357" s="35"/>
      <c r="E357" s="132">
        <v>60</v>
      </c>
      <c r="F357" s="35"/>
      <c r="G357" s="35"/>
      <c r="H357" s="132">
        <v>160</v>
      </c>
      <c r="I357" s="132">
        <v>170</v>
      </c>
      <c r="J357" s="35"/>
      <c r="K357" s="35"/>
      <c r="L357" s="132" t="s">
        <v>165</v>
      </c>
      <c r="M357" s="35"/>
      <c r="N357" s="35"/>
      <c r="O357" s="132">
        <v>34</v>
      </c>
      <c r="P357" s="35"/>
      <c r="Q357" s="132" t="s">
        <v>229</v>
      </c>
      <c r="R357" s="194">
        <v>64.2</v>
      </c>
    </row>
    <row r="358" spans="1:18" ht="15.75" customHeight="1">
      <c r="A358" s="193">
        <v>75</v>
      </c>
      <c r="B358" s="186">
        <v>4</v>
      </c>
      <c r="C358" s="132"/>
      <c r="D358" s="35"/>
      <c r="E358" s="132">
        <v>66</v>
      </c>
      <c r="F358" s="35"/>
      <c r="G358" s="35"/>
      <c r="H358" s="132">
        <v>158</v>
      </c>
      <c r="I358" s="132">
        <v>170</v>
      </c>
      <c r="J358" s="35"/>
      <c r="K358" s="35"/>
      <c r="L358" s="132" t="s">
        <v>165</v>
      </c>
      <c r="M358" s="35"/>
      <c r="N358" s="35"/>
      <c r="O358" s="132">
        <v>33</v>
      </c>
      <c r="P358" s="35"/>
      <c r="Q358" s="132" t="s">
        <v>229</v>
      </c>
      <c r="R358" s="194">
        <v>64.8</v>
      </c>
    </row>
    <row r="359" spans="1:18" ht="15.75" customHeight="1">
      <c r="A359" s="193">
        <v>75</v>
      </c>
      <c r="B359" s="186">
        <v>5</v>
      </c>
      <c r="C359" s="132"/>
      <c r="D359" s="35"/>
      <c r="E359" s="132">
        <v>71</v>
      </c>
      <c r="F359" s="35"/>
      <c r="G359" s="35"/>
      <c r="H359" s="132">
        <v>158</v>
      </c>
      <c r="I359" s="132">
        <v>170</v>
      </c>
      <c r="J359" s="35"/>
      <c r="K359" s="35"/>
      <c r="L359" s="132" t="s">
        <v>165</v>
      </c>
      <c r="M359" s="35"/>
      <c r="N359" s="35"/>
      <c r="O359" s="132">
        <v>34</v>
      </c>
      <c r="P359" s="35"/>
      <c r="Q359" s="132" t="s">
        <v>229</v>
      </c>
      <c r="R359" s="194">
        <v>64.8</v>
      </c>
    </row>
    <row r="360" spans="1:18" ht="15.75" customHeight="1">
      <c r="A360" s="193">
        <v>75</v>
      </c>
      <c r="B360" s="186">
        <v>6</v>
      </c>
      <c r="C360" s="132"/>
      <c r="D360" s="35"/>
      <c r="E360" s="132">
        <v>77</v>
      </c>
      <c r="F360" s="35"/>
      <c r="G360" s="35"/>
      <c r="H360" s="132">
        <v>167</v>
      </c>
      <c r="I360" s="132">
        <v>174</v>
      </c>
      <c r="J360" s="35"/>
      <c r="K360" s="35"/>
      <c r="L360" s="132" t="s">
        <v>165</v>
      </c>
      <c r="M360" s="35"/>
      <c r="N360" s="35"/>
      <c r="O360" s="132">
        <v>49</v>
      </c>
      <c r="P360" s="35"/>
      <c r="Q360" s="132" t="s">
        <v>229</v>
      </c>
      <c r="R360" s="194">
        <v>64.5</v>
      </c>
    </row>
    <row r="361" spans="1:18" ht="15.75" customHeight="1">
      <c r="A361" s="193">
        <v>75</v>
      </c>
      <c r="B361" s="186">
        <v>7</v>
      </c>
      <c r="C361" s="35"/>
      <c r="D361" s="35"/>
      <c r="E361" s="132">
        <v>80</v>
      </c>
      <c r="F361" s="35"/>
      <c r="G361" s="35"/>
      <c r="H361" s="132">
        <v>165</v>
      </c>
      <c r="I361" s="132">
        <v>172</v>
      </c>
      <c r="J361" s="35"/>
      <c r="K361" s="35"/>
      <c r="L361" s="132" t="s">
        <v>165</v>
      </c>
      <c r="M361" s="35"/>
      <c r="N361" s="35"/>
      <c r="O361" s="132">
        <v>66</v>
      </c>
      <c r="P361" s="35"/>
      <c r="Q361" s="132" t="s">
        <v>229</v>
      </c>
      <c r="R361" s="194">
        <v>62.4</v>
      </c>
    </row>
    <row r="362" spans="1:18" ht="15.75" customHeight="1">
      <c r="A362" s="193">
        <v>75</v>
      </c>
      <c r="B362" s="186">
        <v>8</v>
      </c>
      <c r="C362" s="35"/>
      <c r="D362" s="35"/>
      <c r="E362" s="132">
        <v>75</v>
      </c>
      <c r="F362" s="35"/>
      <c r="G362" s="35"/>
      <c r="H362" s="132">
        <v>165</v>
      </c>
      <c r="I362" s="132">
        <v>172</v>
      </c>
      <c r="J362" s="35"/>
      <c r="K362" s="35"/>
      <c r="L362" s="132" t="s">
        <v>165</v>
      </c>
      <c r="M362" s="35"/>
      <c r="N362" s="35"/>
      <c r="O362" s="132">
        <v>55</v>
      </c>
      <c r="P362" s="35"/>
      <c r="Q362" s="132" t="s">
        <v>229</v>
      </c>
      <c r="R362" s="194">
        <v>65.599999999999994</v>
      </c>
    </row>
    <row r="363" spans="1:18" ht="15.75" customHeight="1">
      <c r="A363" s="193">
        <v>75</v>
      </c>
      <c r="B363" s="186">
        <v>9</v>
      </c>
      <c r="C363" s="35"/>
      <c r="D363" s="35"/>
      <c r="E363" s="132">
        <v>73</v>
      </c>
      <c r="F363" s="35"/>
      <c r="G363" s="35"/>
      <c r="H363" s="132">
        <v>163</v>
      </c>
      <c r="I363" s="132">
        <v>171</v>
      </c>
      <c r="J363" s="35"/>
      <c r="K363" s="35"/>
      <c r="L363" s="132" t="s">
        <v>165</v>
      </c>
      <c r="M363" s="35"/>
      <c r="N363" s="35"/>
      <c r="O363" s="132">
        <v>33</v>
      </c>
      <c r="P363" s="35"/>
      <c r="Q363" s="132" t="s">
        <v>229</v>
      </c>
      <c r="R363" s="194">
        <v>66.099999999999994</v>
      </c>
    </row>
    <row r="364" spans="1:18" ht="15.75" customHeight="1">
      <c r="A364" s="193">
        <v>75</v>
      </c>
      <c r="B364" s="186">
        <v>10</v>
      </c>
      <c r="C364" s="35"/>
      <c r="D364" s="35"/>
      <c r="E364" s="132">
        <v>77</v>
      </c>
      <c r="F364" s="35"/>
      <c r="G364" s="35"/>
      <c r="H364" s="132">
        <v>163</v>
      </c>
      <c r="I364" s="132">
        <v>172</v>
      </c>
      <c r="J364" s="35"/>
      <c r="K364" s="35"/>
      <c r="L364" s="132" t="s">
        <v>165</v>
      </c>
      <c r="M364" s="35"/>
      <c r="N364" s="35"/>
      <c r="O364" s="132">
        <v>38</v>
      </c>
      <c r="P364" s="35"/>
      <c r="Q364" s="132" t="s">
        <v>229</v>
      </c>
      <c r="R364" s="194">
        <v>65.2</v>
      </c>
    </row>
    <row r="365" spans="1:18" ht="15.75" customHeight="1">
      <c r="A365" s="191">
        <v>75</v>
      </c>
      <c r="B365" s="188">
        <v>11</v>
      </c>
      <c r="C365" s="190"/>
      <c r="D365" s="190"/>
      <c r="E365" s="189">
        <v>81</v>
      </c>
      <c r="F365" s="190"/>
      <c r="G365" s="190"/>
      <c r="H365" s="189">
        <v>168</v>
      </c>
      <c r="I365" s="189">
        <v>174</v>
      </c>
      <c r="J365" s="190"/>
      <c r="K365" s="190"/>
      <c r="L365" s="189" t="s">
        <v>165</v>
      </c>
      <c r="M365" s="190"/>
      <c r="N365" s="190"/>
      <c r="O365" s="189">
        <v>55</v>
      </c>
      <c r="P365" s="190"/>
      <c r="Q365" s="189" t="s">
        <v>229</v>
      </c>
      <c r="R365" s="196">
        <v>62.9</v>
      </c>
    </row>
    <row r="366" spans="1:18" ht="15.75" customHeight="1">
      <c r="A366" s="193">
        <v>76</v>
      </c>
      <c r="B366" s="186">
        <v>1</v>
      </c>
      <c r="R366" s="6"/>
    </row>
    <row r="367" spans="1:18" ht="15.75" customHeight="1">
      <c r="A367" s="191">
        <v>76</v>
      </c>
      <c r="B367" s="188">
        <v>2</v>
      </c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41"/>
    </row>
    <row r="368" spans="1:18" ht="15.75" customHeight="1">
      <c r="A368" s="193">
        <v>77</v>
      </c>
      <c r="B368" s="186">
        <v>1</v>
      </c>
      <c r="C368" s="35"/>
      <c r="D368" s="35"/>
      <c r="E368" s="35">
        <v>113</v>
      </c>
      <c r="F368" s="35"/>
      <c r="G368" s="35"/>
      <c r="H368" s="35">
        <v>163.9</v>
      </c>
      <c r="I368" s="35">
        <v>168.3</v>
      </c>
      <c r="J368" s="132"/>
      <c r="K368" s="35"/>
      <c r="L368" s="132" t="s">
        <v>165</v>
      </c>
      <c r="M368" s="35">
        <v>74.599999999999994</v>
      </c>
      <c r="N368" s="35"/>
      <c r="O368" s="35">
        <v>68.599999999999994</v>
      </c>
      <c r="P368" s="35"/>
      <c r="Q368" s="132" t="s">
        <v>229</v>
      </c>
      <c r="R368" s="36">
        <v>51.1</v>
      </c>
    </row>
    <row r="369" spans="1:18" ht="15.75" customHeight="1">
      <c r="A369" s="193">
        <v>77</v>
      </c>
      <c r="B369" s="186">
        <v>2</v>
      </c>
      <c r="C369" s="35"/>
      <c r="D369" s="35"/>
      <c r="E369" s="35">
        <v>113.7</v>
      </c>
      <c r="F369" s="35"/>
      <c r="G369" s="35"/>
      <c r="H369" s="35">
        <v>164.5</v>
      </c>
      <c r="I369" s="35">
        <v>168.6</v>
      </c>
      <c r="J369" s="35"/>
      <c r="K369" s="35"/>
      <c r="L369" s="132" t="s">
        <v>165</v>
      </c>
      <c r="M369" s="35">
        <v>72.400000000000006</v>
      </c>
      <c r="N369" s="35"/>
      <c r="O369" s="35">
        <v>66.900000000000006</v>
      </c>
      <c r="P369" s="35"/>
      <c r="Q369" s="132" t="s">
        <v>229</v>
      </c>
      <c r="R369" s="36">
        <v>52.2</v>
      </c>
    </row>
    <row r="370" spans="1:18" ht="15.75" customHeight="1">
      <c r="A370" s="193">
        <v>77</v>
      </c>
      <c r="B370" s="186">
        <v>3</v>
      </c>
      <c r="C370" s="35"/>
      <c r="D370" s="35"/>
      <c r="E370" s="35">
        <v>113.3</v>
      </c>
      <c r="F370" s="35"/>
      <c r="G370" s="35"/>
      <c r="H370" s="35">
        <v>163.5</v>
      </c>
      <c r="I370" s="35">
        <v>167.8</v>
      </c>
      <c r="J370" s="35"/>
      <c r="K370" s="35"/>
      <c r="L370" s="132" t="s">
        <v>165</v>
      </c>
      <c r="M370" s="35">
        <v>72.8</v>
      </c>
      <c r="N370" s="35"/>
      <c r="O370" s="35">
        <v>64.2</v>
      </c>
      <c r="P370" s="35"/>
      <c r="Q370" s="132" t="s">
        <v>229</v>
      </c>
      <c r="R370" s="36">
        <v>52.5</v>
      </c>
    </row>
    <row r="371" spans="1:18" ht="15.75" customHeight="1">
      <c r="A371" s="193">
        <v>77</v>
      </c>
      <c r="B371" s="186">
        <v>4</v>
      </c>
      <c r="C371" s="35"/>
      <c r="D371" s="35"/>
      <c r="E371" s="35">
        <v>108.3</v>
      </c>
      <c r="F371" s="35"/>
      <c r="G371" s="35"/>
      <c r="H371" s="35">
        <v>164.2</v>
      </c>
      <c r="I371" s="35">
        <v>168.1</v>
      </c>
      <c r="J371" s="35"/>
      <c r="K371" s="35"/>
      <c r="L371" s="132" t="s">
        <v>165</v>
      </c>
      <c r="M371" s="35">
        <v>70.400000000000006</v>
      </c>
      <c r="N371" s="35"/>
      <c r="O371" s="35">
        <v>63.1</v>
      </c>
      <c r="P371" s="35"/>
      <c r="Q371" s="132" t="s">
        <v>229</v>
      </c>
      <c r="R371" s="36">
        <v>50.8</v>
      </c>
    </row>
    <row r="372" spans="1:18" ht="15.75" customHeight="1">
      <c r="A372" s="193">
        <v>77</v>
      </c>
      <c r="B372" s="186">
        <v>5</v>
      </c>
      <c r="C372" s="35"/>
      <c r="D372" s="35"/>
      <c r="E372" s="35">
        <v>111.6</v>
      </c>
      <c r="F372" s="35"/>
      <c r="G372" s="35"/>
      <c r="H372" s="35">
        <v>162</v>
      </c>
      <c r="I372" s="35">
        <v>167</v>
      </c>
      <c r="J372" s="35"/>
      <c r="K372" s="35"/>
      <c r="L372" s="132" t="s">
        <v>165</v>
      </c>
      <c r="M372" s="35">
        <v>71.599999999999994</v>
      </c>
      <c r="N372" s="35"/>
      <c r="O372" s="35">
        <v>62.8</v>
      </c>
      <c r="P372" s="35"/>
      <c r="Q372" s="132" t="s">
        <v>229</v>
      </c>
      <c r="R372" s="36">
        <v>51.6</v>
      </c>
    </row>
    <row r="373" spans="1:18" ht="15.75" customHeight="1">
      <c r="A373" s="193">
        <v>77</v>
      </c>
      <c r="B373" s="186">
        <v>6</v>
      </c>
      <c r="C373" s="35"/>
      <c r="D373" s="35"/>
      <c r="E373" s="35">
        <v>115.3</v>
      </c>
      <c r="F373" s="35"/>
      <c r="G373" s="35"/>
      <c r="H373" s="35">
        <v>167.2</v>
      </c>
      <c r="I373" s="35">
        <v>171.6</v>
      </c>
      <c r="J373" s="35"/>
      <c r="K373" s="35"/>
      <c r="L373" s="132" t="s">
        <v>165</v>
      </c>
      <c r="M373" s="35">
        <v>74.3</v>
      </c>
      <c r="N373" s="35"/>
      <c r="O373" s="35">
        <v>66.099999999999994</v>
      </c>
      <c r="P373" s="35"/>
      <c r="Q373" s="132" t="s">
        <v>229</v>
      </c>
      <c r="R373" s="36">
        <v>56.5</v>
      </c>
    </row>
    <row r="374" spans="1:18" ht="15.75" customHeight="1">
      <c r="A374" s="193">
        <v>77</v>
      </c>
      <c r="B374" s="186">
        <v>7</v>
      </c>
      <c r="C374" s="35"/>
      <c r="D374" s="35"/>
      <c r="E374" s="35">
        <v>112.5</v>
      </c>
      <c r="F374" s="35"/>
      <c r="G374" s="35"/>
      <c r="H374" s="35">
        <v>161.9</v>
      </c>
      <c r="I374" s="35">
        <v>168.8</v>
      </c>
      <c r="J374" s="35"/>
      <c r="K374" s="35"/>
      <c r="L374" s="132" t="s">
        <v>165</v>
      </c>
      <c r="M374" s="35">
        <v>66.400000000000006</v>
      </c>
      <c r="N374" s="35"/>
      <c r="O374" s="35">
        <v>59.1</v>
      </c>
      <c r="P374" s="35"/>
      <c r="Q374" s="132" t="s">
        <v>229</v>
      </c>
      <c r="R374" s="36">
        <v>50.5</v>
      </c>
    </row>
    <row r="375" spans="1:18" ht="15.75" customHeight="1">
      <c r="A375" s="193">
        <v>77</v>
      </c>
      <c r="B375" s="186">
        <v>8</v>
      </c>
      <c r="C375" s="35"/>
      <c r="D375" s="35"/>
      <c r="E375" s="35">
        <v>112</v>
      </c>
      <c r="F375" s="35"/>
      <c r="G375" s="35"/>
      <c r="H375" s="35">
        <v>162.30000000000001</v>
      </c>
      <c r="I375" s="35">
        <v>168.7</v>
      </c>
      <c r="J375" s="35"/>
      <c r="K375" s="35"/>
      <c r="L375" s="132" t="s">
        <v>165</v>
      </c>
      <c r="M375" s="35">
        <v>71</v>
      </c>
      <c r="N375" s="35"/>
      <c r="O375" s="35">
        <v>65.2</v>
      </c>
      <c r="P375" s="35"/>
      <c r="Q375" s="132" t="s">
        <v>229</v>
      </c>
      <c r="R375" s="36">
        <v>54</v>
      </c>
    </row>
    <row r="376" spans="1:18" ht="15.75" customHeight="1">
      <c r="A376" s="191">
        <v>77</v>
      </c>
      <c r="B376" s="188">
        <v>9</v>
      </c>
      <c r="C376" s="190"/>
      <c r="D376" s="190"/>
      <c r="E376" s="190">
        <v>108</v>
      </c>
      <c r="F376" s="190"/>
      <c r="G376" s="190"/>
      <c r="H376" s="190">
        <v>157.9</v>
      </c>
      <c r="I376" s="190">
        <v>165</v>
      </c>
      <c r="J376" s="190"/>
      <c r="K376" s="190"/>
      <c r="L376" s="189" t="s">
        <v>165</v>
      </c>
      <c r="M376" s="190">
        <v>64.099999999999994</v>
      </c>
      <c r="N376" s="190"/>
      <c r="O376" s="190">
        <v>54.9</v>
      </c>
      <c r="P376" s="190"/>
      <c r="Q376" s="189" t="s">
        <v>229</v>
      </c>
      <c r="R376" s="38">
        <v>48.9</v>
      </c>
    </row>
    <row r="377" spans="1:18" ht="15.75" customHeight="1">
      <c r="A377" s="193">
        <v>78</v>
      </c>
      <c r="B377" s="186">
        <v>1</v>
      </c>
      <c r="C377" s="35">
        <v>-4.5</v>
      </c>
      <c r="D377" s="35"/>
      <c r="E377" s="35">
        <v>96</v>
      </c>
      <c r="F377" s="35"/>
      <c r="G377" s="35"/>
      <c r="H377" s="35">
        <v>170.3</v>
      </c>
      <c r="I377" s="35"/>
      <c r="J377" s="35"/>
      <c r="K377" s="35"/>
      <c r="L377" s="132" t="s">
        <v>165</v>
      </c>
      <c r="M377" s="35">
        <v>39.799999999999997</v>
      </c>
      <c r="N377" s="35"/>
      <c r="O377" s="35"/>
      <c r="P377" s="35"/>
      <c r="Q377" s="35"/>
      <c r="R377" s="36">
        <v>27.3</v>
      </c>
    </row>
    <row r="378" spans="1:18" ht="15.75" customHeight="1">
      <c r="A378" s="193">
        <v>78</v>
      </c>
      <c r="B378" s="186">
        <v>2</v>
      </c>
      <c r="C378" s="35">
        <v>-0.8</v>
      </c>
      <c r="D378" s="35"/>
      <c r="E378" s="35">
        <v>98.5</v>
      </c>
      <c r="F378" s="35"/>
      <c r="G378" s="35"/>
      <c r="H378" s="35">
        <v>172.3</v>
      </c>
      <c r="I378" s="35"/>
      <c r="J378" s="35"/>
      <c r="K378" s="35"/>
      <c r="L378" s="132" t="s">
        <v>165</v>
      </c>
      <c r="M378" s="35">
        <v>40.9</v>
      </c>
      <c r="N378" s="35"/>
      <c r="O378" s="35"/>
      <c r="P378" s="35"/>
      <c r="Q378" s="35"/>
      <c r="R378" s="36">
        <v>28</v>
      </c>
    </row>
    <row r="379" spans="1:18" ht="15.75" customHeight="1">
      <c r="A379" s="193">
        <v>78</v>
      </c>
      <c r="B379" s="186">
        <v>3</v>
      </c>
      <c r="C379" s="35">
        <v>3</v>
      </c>
      <c r="D379" s="35"/>
      <c r="E379" s="35">
        <v>97.7</v>
      </c>
      <c r="F379" s="35"/>
      <c r="G379" s="35"/>
      <c r="H379" s="35">
        <v>171.3</v>
      </c>
      <c r="I379" s="35"/>
      <c r="J379" s="35"/>
      <c r="K379" s="35"/>
      <c r="L379" s="132" t="s">
        <v>165</v>
      </c>
      <c r="M379" s="35">
        <v>68.7</v>
      </c>
      <c r="N379" s="35"/>
      <c r="O379" s="35"/>
      <c r="P379" s="35"/>
      <c r="Q379" s="35"/>
      <c r="R379" s="36">
        <v>47</v>
      </c>
    </row>
    <row r="380" spans="1:18" ht="15.75" customHeight="1">
      <c r="A380" s="193">
        <v>78</v>
      </c>
      <c r="B380" s="186">
        <v>4</v>
      </c>
      <c r="C380" s="35">
        <v>2</v>
      </c>
      <c r="D380" s="35"/>
      <c r="E380" s="35">
        <v>91.5</v>
      </c>
      <c r="F380" s="35"/>
      <c r="G380" s="35"/>
      <c r="H380" s="35">
        <v>174</v>
      </c>
      <c r="I380" s="35"/>
      <c r="J380" s="35"/>
      <c r="K380" s="35"/>
      <c r="L380" s="132" t="s">
        <v>165</v>
      </c>
      <c r="M380" s="35">
        <v>63.9</v>
      </c>
      <c r="N380" s="35"/>
      <c r="O380" s="35"/>
      <c r="P380" s="35"/>
      <c r="Q380" s="35"/>
      <c r="R380" s="36">
        <v>43.8</v>
      </c>
    </row>
    <row r="381" spans="1:18" ht="15.75" customHeight="1">
      <c r="A381" s="193">
        <v>78</v>
      </c>
      <c r="B381" s="186">
        <v>5</v>
      </c>
      <c r="C381" s="35">
        <v>-3.8</v>
      </c>
      <c r="D381" s="35"/>
      <c r="E381" s="35">
        <v>97.6</v>
      </c>
      <c r="F381" s="35"/>
      <c r="G381" s="35"/>
      <c r="H381" s="35">
        <v>169.2</v>
      </c>
      <c r="I381" s="35"/>
      <c r="J381" s="35"/>
      <c r="K381" s="35"/>
      <c r="L381" s="132" t="s">
        <v>165</v>
      </c>
      <c r="M381" s="35">
        <v>37.299999999999997</v>
      </c>
      <c r="N381" s="35"/>
      <c r="O381" s="35"/>
      <c r="P381" s="35"/>
      <c r="Q381" s="35"/>
      <c r="R381" s="36">
        <v>25.5</v>
      </c>
    </row>
    <row r="382" spans="1:18" ht="15.75" customHeight="1">
      <c r="A382" s="193">
        <v>78</v>
      </c>
      <c r="B382" s="186">
        <v>6</v>
      </c>
      <c r="C382" s="35">
        <v>-3.4</v>
      </c>
      <c r="D382" s="35"/>
      <c r="E382" s="35">
        <v>94.1</v>
      </c>
      <c r="F382" s="35"/>
      <c r="G382" s="35"/>
      <c r="H382" s="35">
        <v>170</v>
      </c>
      <c r="I382" s="35"/>
      <c r="J382" s="35"/>
      <c r="K382" s="35"/>
      <c r="L382" s="132" t="s">
        <v>165</v>
      </c>
      <c r="M382" s="35">
        <v>40.1</v>
      </c>
      <c r="N382" s="35"/>
      <c r="O382" s="35"/>
      <c r="P382" s="35"/>
      <c r="Q382" s="35"/>
      <c r="R382" s="36">
        <v>27.5</v>
      </c>
    </row>
    <row r="383" spans="1:18" ht="15.75" customHeight="1">
      <c r="A383" s="193">
        <v>78</v>
      </c>
      <c r="B383" s="186">
        <v>7</v>
      </c>
      <c r="C383" s="35">
        <v>3.4</v>
      </c>
      <c r="D383" s="35"/>
      <c r="E383" s="35">
        <v>91.2</v>
      </c>
      <c r="F383" s="35"/>
      <c r="G383" s="35"/>
      <c r="H383" s="35">
        <v>172</v>
      </c>
      <c r="I383" s="35"/>
      <c r="J383" s="35"/>
      <c r="K383" s="35"/>
      <c r="L383" s="132" t="s">
        <v>165</v>
      </c>
      <c r="M383" s="35">
        <v>67.599999999999994</v>
      </c>
      <c r="N383" s="35"/>
      <c r="O383" s="35"/>
      <c r="P383" s="35"/>
      <c r="Q383" s="35"/>
      <c r="R383" s="36">
        <v>46.3</v>
      </c>
    </row>
    <row r="384" spans="1:18" ht="15.75" customHeight="1">
      <c r="A384" s="193">
        <v>78</v>
      </c>
      <c r="B384" s="186">
        <v>8</v>
      </c>
      <c r="C384" s="35">
        <v>2</v>
      </c>
      <c r="D384" s="35"/>
      <c r="E384" s="35">
        <v>89.2</v>
      </c>
      <c r="F384" s="35"/>
      <c r="G384" s="35"/>
      <c r="H384" s="35">
        <v>172.5</v>
      </c>
      <c r="I384" s="35"/>
      <c r="J384" s="35"/>
      <c r="K384" s="35"/>
      <c r="L384" s="132" t="s">
        <v>165</v>
      </c>
      <c r="M384" s="35">
        <v>64.2</v>
      </c>
      <c r="N384" s="35"/>
      <c r="O384" s="35"/>
      <c r="P384" s="35"/>
      <c r="Q384" s="35"/>
      <c r="R384" s="36">
        <v>44</v>
      </c>
    </row>
    <row r="385" spans="1:18" ht="15.75" customHeight="1">
      <c r="A385" s="193">
        <v>78</v>
      </c>
      <c r="B385" s="186">
        <v>9</v>
      </c>
      <c r="C385" s="35">
        <v>-0.9</v>
      </c>
      <c r="D385" s="35"/>
      <c r="E385" s="35">
        <v>89.3</v>
      </c>
      <c r="F385" s="35"/>
      <c r="G385" s="35"/>
      <c r="H385" s="35">
        <v>170</v>
      </c>
      <c r="I385" s="35"/>
      <c r="J385" s="35"/>
      <c r="K385" s="35"/>
      <c r="L385" s="132" t="s">
        <v>165</v>
      </c>
      <c r="M385" s="35">
        <v>37.200000000000003</v>
      </c>
      <c r="N385" s="35"/>
      <c r="O385" s="35"/>
      <c r="P385" s="35"/>
      <c r="Q385" s="35"/>
      <c r="R385" s="36">
        <v>25.5</v>
      </c>
    </row>
    <row r="386" spans="1:18" ht="15.75" customHeight="1">
      <c r="A386" s="193">
        <v>78</v>
      </c>
      <c r="B386" s="186">
        <v>10</v>
      </c>
      <c r="C386" s="35">
        <v>-2.2999999999999998</v>
      </c>
      <c r="D386" s="35"/>
      <c r="E386" s="35">
        <v>90.1</v>
      </c>
      <c r="F386" s="35"/>
      <c r="G386" s="35"/>
      <c r="H386" s="35">
        <v>172.2</v>
      </c>
      <c r="I386" s="35"/>
      <c r="J386" s="35"/>
      <c r="K386" s="35"/>
      <c r="L386" s="132" t="s">
        <v>165</v>
      </c>
      <c r="M386" s="35">
        <v>48.5</v>
      </c>
      <c r="N386" s="35"/>
      <c r="O386" s="35"/>
      <c r="P386" s="35"/>
      <c r="Q386" s="35"/>
      <c r="R386" s="36">
        <v>33.200000000000003</v>
      </c>
    </row>
    <row r="387" spans="1:18" ht="15.75" customHeight="1">
      <c r="A387" s="193">
        <v>78</v>
      </c>
      <c r="B387" s="186">
        <v>11</v>
      </c>
      <c r="C387" s="35">
        <v>2.2000000000000002</v>
      </c>
      <c r="D387" s="35"/>
      <c r="E387" s="35">
        <v>87.7</v>
      </c>
      <c r="F387" s="35"/>
      <c r="G387" s="35"/>
      <c r="H387" s="35">
        <v>171.9</v>
      </c>
      <c r="I387" s="35"/>
      <c r="J387" s="35"/>
      <c r="K387" s="35"/>
      <c r="L387" s="132" t="s">
        <v>165</v>
      </c>
      <c r="M387" s="35">
        <v>44.6</v>
      </c>
      <c r="N387" s="35"/>
      <c r="O387" s="35"/>
      <c r="P387" s="35"/>
      <c r="Q387" s="35"/>
      <c r="R387" s="36">
        <v>30.5</v>
      </c>
    </row>
    <row r="388" spans="1:18" ht="15.75" customHeight="1">
      <c r="A388" s="193">
        <v>78</v>
      </c>
      <c r="B388" s="186">
        <v>12</v>
      </c>
      <c r="C388" s="35">
        <v>2.1</v>
      </c>
      <c r="D388" s="35"/>
      <c r="E388" s="35">
        <v>90</v>
      </c>
      <c r="F388" s="35"/>
      <c r="G388" s="35"/>
      <c r="H388" s="35">
        <v>172.7</v>
      </c>
      <c r="I388" s="35"/>
      <c r="J388" s="35"/>
      <c r="K388" s="35"/>
      <c r="L388" s="132" t="s">
        <v>165</v>
      </c>
      <c r="M388" s="35">
        <v>57.6</v>
      </c>
      <c r="N388" s="35"/>
      <c r="O388" s="35"/>
      <c r="P388" s="35"/>
      <c r="Q388" s="35"/>
      <c r="R388" s="36">
        <v>39.5</v>
      </c>
    </row>
    <row r="389" spans="1:18" ht="15.75" customHeight="1">
      <c r="A389" s="193">
        <v>78</v>
      </c>
      <c r="B389" s="186">
        <v>13</v>
      </c>
      <c r="C389" s="35">
        <v>-0.2</v>
      </c>
      <c r="D389" s="35"/>
      <c r="E389" s="35">
        <v>89.5</v>
      </c>
      <c r="F389" s="35"/>
      <c r="G389" s="35"/>
      <c r="H389" s="35">
        <v>171.7</v>
      </c>
      <c r="I389" s="35"/>
      <c r="J389" s="35"/>
      <c r="K389" s="35"/>
      <c r="L389" s="132" t="s">
        <v>165</v>
      </c>
      <c r="M389" s="35">
        <v>37.799999999999997</v>
      </c>
      <c r="N389" s="35"/>
      <c r="O389" s="35"/>
      <c r="P389" s="35"/>
      <c r="Q389" s="35"/>
      <c r="R389" s="36">
        <v>25.9</v>
      </c>
    </row>
    <row r="390" spans="1:18" ht="15.75" customHeight="1">
      <c r="A390" s="193">
        <v>78</v>
      </c>
      <c r="B390" s="186">
        <v>14</v>
      </c>
      <c r="C390" s="35">
        <v>1.9</v>
      </c>
      <c r="D390" s="35"/>
      <c r="E390" s="35">
        <v>90.2</v>
      </c>
      <c r="F390" s="35"/>
      <c r="G390" s="35"/>
      <c r="H390" s="35">
        <v>173.6</v>
      </c>
      <c r="I390" s="35"/>
      <c r="J390" s="35"/>
      <c r="K390" s="35"/>
      <c r="L390" s="132" t="s">
        <v>165</v>
      </c>
      <c r="M390" s="35">
        <v>54</v>
      </c>
      <c r="N390" s="35"/>
      <c r="O390" s="35"/>
      <c r="P390" s="35"/>
      <c r="Q390" s="35"/>
      <c r="R390" s="36">
        <v>37</v>
      </c>
    </row>
    <row r="391" spans="1:18" ht="15.75" customHeight="1">
      <c r="A391" s="193">
        <v>78</v>
      </c>
      <c r="B391" s="186">
        <v>15</v>
      </c>
      <c r="C391" s="35">
        <v>3.7</v>
      </c>
      <c r="D391" s="35"/>
      <c r="E391" s="35">
        <v>91.7</v>
      </c>
      <c r="F391" s="35"/>
      <c r="G391" s="35"/>
      <c r="H391" s="35">
        <v>174.1</v>
      </c>
      <c r="I391" s="35"/>
      <c r="J391" s="35"/>
      <c r="K391" s="35"/>
      <c r="L391" s="132" t="s">
        <v>165</v>
      </c>
      <c r="M391" s="35">
        <v>59.7</v>
      </c>
      <c r="N391" s="35"/>
      <c r="O391" s="35"/>
      <c r="P391" s="35"/>
      <c r="Q391" s="35"/>
      <c r="R391" s="36">
        <v>40.9</v>
      </c>
    </row>
    <row r="392" spans="1:18" ht="15.75" customHeight="1">
      <c r="A392" s="191">
        <v>78</v>
      </c>
      <c r="B392" s="188">
        <v>16</v>
      </c>
      <c r="C392" s="190">
        <v>4.0999999999999996</v>
      </c>
      <c r="D392" s="190"/>
      <c r="E392" s="190">
        <v>91.4</v>
      </c>
      <c r="F392" s="190"/>
      <c r="G392" s="190"/>
      <c r="H392" s="190">
        <v>175.2</v>
      </c>
      <c r="I392" s="190"/>
      <c r="J392" s="190"/>
      <c r="K392" s="190"/>
      <c r="L392" s="189" t="s">
        <v>165</v>
      </c>
      <c r="M392" s="190">
        <v>60.3</v>
      </c>
      <c r="N392" s="190"/>
      <c r="O392" s="190"/>
      <c r="P392" s="190"/>
      <c r="Q392" s="190"/>
      <c r="R392" s="38">
        <v>41.3</v>
      </c>
    </row>
    <row r="393" spans="1:18" ht="15.75" customHeight="1">
      <c r="A393" s="193">
        <v>79</v>
      </c>
      <c r="B393" s="186">
        <v>1</v>
      </c>
      <c r="C393" s="132">
        <v>-3.7</v>
      </c>
      <c r="D393" s="35"/>
      <c r="E393" s="35">
        <v>104.2</v>
      </c>
      <c r="F393" s="35"/>
      <c r="G393" s="35"/>
      <c r="H393" s="35">
        <v>150.80000000000001</v>
      </c>
      <c r="I393" s="35">
        <v>162.30000000000001</v>
      </c>
      <c r="J393" s="35"/>
      <c r="K393" s="35"/>
      <c r="L393" s="132" t="s">
        <v>165</v>
      </c>
      <c r="M393" s="35">
        <v>20.100000000000001</v>
      </c>
      <c r="N393" s="35">
        <v>17.3</v>
      </c>
      <c r="O393" s="35">
        <v>28.6</v>
      </c>
      <c r="P393" s="35"/>
      <c r="Q393" s="132" t="s">
        <v>229</v>
      </c>
      <c r="R393" s="36"/>
    </row>
    <row r="394" spans="1:18" ht="15.75" customHeight="1">
      <c r="A394" s="193">
        <v>79</v>
      </c>
      <c r="B394" s="186">
        <v>2</v>
      </c>
      <c r="C394" s="132">
        <v>-2.6</v>
      </c>
      <c r="D394" s="35"/>
      <c r="E394" s="35">
        <v>100.8</v>
      </c>
      <c r="F394" s="35"/>
      <c r="G394" s="35"/>
      <c r="H394" s="35">
        <v>149.4</v>
      </c>
      <c r="I394" s="35">
        <v>161.69999999999999</v>
      </c>
      <c r="J394" s="35"/>
      <c r="K394" s="35"/>
      <c r="L394" s="132" t="s">
        <v>165</v>
      </c>
      <c r="M394" s="35">
        <v>18.3</v>
      </c>
      <c r="N394" s="35">
        <v>19</v>
      </c>
      <c r="O394" s="35">
        <v>32.5</v>
      </c>
      <c r="P394" s="35"/>
      <c r="Q394" s="132" t="s">
        <v>229</v>
      </c>
      <c r="R394" s="36"/>
    </row>
    <row r="395" spans="1:18" ht="15.75" customHeight="1">
      <c r="A395" s="193">
        <v>79</v>
      </c>
      <c r="B395" s="186">
        <v>3</v>
      </c>
      <c r="C395" s="132">
        <v>-2.2000000000000002</v>
      </c>
      <c r="D395" s="35"/>
      <c r="E395" s="35">
        <v>96</v>
      </c>
      <c r="F395" s="35"/>
      <c r="G395" s="35"/>
      <c r="H395" s="35">
        <v>148.19999999999999</v>
      </c>
      <c r="I395" s="35">
        <v>161.4</v>
      </c>
      <c r="J395" s="35"/>
      <c r="K395" s="35"/>
      <c r="L395" s="132" t="s">
        <v>165</v>
      </c>
      <c r="M395" s="35">
        <v>15.6</v>
      </c>
      <c r="N395" s="35">
        <v>20.3</v>
      </c>
      <c r="O395" s="35">
        <v>30.7</v>
      </c>
      <c r="P395" s="35"/>
      <c r="Q395" s="132" t="s">
        <v>229</v>
      </c>
      <c r="R395" s="36"/>
    </row>
    <row r="396" spans="1:18" ht="15.75" customHeight="1">
      <c r="A396" s="191">
        <v>79</v>
      </c>
      <c r="B396" s="188">
        <v>4</v>
      </c>
      <c r="C396" s="189">
        <v>-1.5</v>
      </c>
      <c r="D396" s="190"/>
      <c r="E396" s="190">
        <v>107.2</v>
      </c>
      <c r="F396" s="190"/>
      <c r="G396" s="190"/>
      <c r="H396" s="190">
        <v>151.1</v>
      </c>
      <c r="I396" s="190">
        <v>161.9</v>
      </c>
      <c r="J396" s="190"/>
      <c r="K396" s="190"/>
      <c r="L396" s="189" t="s">
        <v>165</v>
      </c>
      <c r="M396" s="190">
        <v>20.5</v>
      </c>
      <c r="N396" s="190">
        <v>13.5</v>
      </c>
      <c r="O396" s="190">
        <v>26.9</v>
      </c>
      <c r="P396" s="190"/>
      <c r="Q396" s="189" t="s">
        <v>229</v>
      </c>
      <c r="R396" s="38"/>
    </row>
    <row r="397" spans="1:18" ht="15.75" customHeight="1">
      <c r="A397" s="193">
        <v>80</v>
      </c>
      <c r="B397" s="186">
        <v>1</v>
      </c>
      <c r="C397" s="35"/>
      <c r="D397" s="35"/>
      <c r="E397" s="35">
        <v>117.2</v>
      </c>
      <c r="F397" s="35"/>
      <c r="G397" s="35"/>
      <c r="H397" s="35">
        <v>169.6</v>
      </c>
      <c r="I397" s="35"/>
      <c r="J397" s="132">
        <v>259</v>
      </c>
      <c r="K397" s="35"/>
      <c r="L397" s="132" t="s">
        <v>165</v>
      </c>
      <c r="M397" s="35">
        <v>93.9</v>
      </c>
      <c r="N397" s="35"/>
      <c r="O397" s="35">
        <v>90.6</v>
      </c>
      <c r="P397" s="35"/>
      <c r="Q397" s="132" t="s">
        <v>229</v>
      </c>
      <c r="R397" s="36">
        <v>64.3</v>
      </c>
    </row>
    <row r="398" spans="1:18" ht="15.75" customHeight="1">
      <c r="A398" s="193">
        <v>80</v>
      </c>
      <c r="B398" s="186">
        <v>2</v>
      </c>
      <c r="C398" s="35"/>
      <c r="D398" s="35"/>
      <c r="E398" s="35">
        <v>118.2</v>
      </c>
      <c r="F398" s="35"/>
      <c r="G398" s="35"/>
      <c r="H398" s="35">
        <v>168.3</v>
      </c>
      <c r="I398" s="35"/>
      <c r="J398" s="132">
        <v>251</v>
      </c>
      <c r="K398" s="35"/>
      <c r="L398" s="132" t="s">
        <v>165</v>
      </c>
      <c r="M398" s="35">
        <v>86.3</v>
      </c>
      <c r="N398" s="35"/>
      <c r="O398" s="35">
        <v>85</v>
      </c>
      <c r="P398" s="35"/>
      <c r="Q398" s="132" t="s">
        <v>229</v>
      </c>
      <c r="R398" s="36">
        <v>65</v>
      </c>
    </row>
    <row r="399" spans="1:18" ht="15.75" customHeight="1">
      <c r="A399" s="193">
        <v>80</v>
      </c>
      <c r="B399" s="186">
        <v>3</v>
      </c>
      <c r="C399" s="35"/>
      <c r="D399" s="35"/>
      <c r="E399" s="35">
        <v>117.7</v>
      </c>
      <c r="F399" s="35"/>
      <c r="G399" s="35"/>
      <c r="H399" s="35">
        <v>169.7</v>
      </c>
      <c r="I399" s="35"/>
      <c r="J399" s="132">
        <v>259</v>
      </c>
      <c r="K399" s="35"/>
      <c r="L399" s="132" t="s">
        <v>165</v>
      </c>
      <c r="M399" s="35">
        <v>86.3</v>
      </c>
      <c r="N399" s="35"/>
      <c r="O399" s="35">
        <v>82.6</v>
      </c>
      <c r="P399" s="35"/>
      <c r="Q399" s="132" t="s">
        <v>229</v>
      </c>
      <c r="R399" s="36">
        <v>65</v>
      </c>
    </row>
    <row r="400" spans="1:18" ht="15.75" customHeight="1">
      <c r="A400" s="193">
        <v>80</v>
      </c>
      <c r="B400" s="186">
        <v>4</v>
      </c>
      <c r="C400" s="35"/>
      <c r="D400" s="35"/>
      <c r="E400" s="35">
        <v>115.9</v>
      </c>
      <c r="F400" s="35"/>
      <c r="G400" s="35"/>
      <c r="H400" s="35">
        <v>168.5</v>
      </c>
      <c r="I400" s="35"/>
      <c r="J400" s="132">
        <v>255</v>
      </c>
      <c r="K400" s="35"/>
      <c r="L400" s="132" t="s">
        <v>165</v>
      </c>
      <c r="M400" s="35">
        <v>85</v>
      </c>
      <c r="N400" s="35"/>
      <c r="O400" s="35">
        <v>81.8</v>
      </c>
      <c r="P400" s="35"/>
      <c r="Q400" s="132" t="s">
        <v>229</v>
      </c>
      <c r="R400" s="36">
        <v>64.099999999999994</v>
      </c>
    </row>
    <row r="401" spans="1:18" ht="15.75" customHeight="1">
      <c r="A401" s="191">
        <v>80</v>
      </c>
      <c r="B401" s="188">
        <v>5</v>
      </c>
      <c r="C401" s="190"/>
      <c r="D401" s="190"/>
      <c r="E401" s="190">
        <v>116.8</v>
      </c>
      <c r="F401" s="190"/>
      <c r="G401" s="190"/>
      <c r="H401" s="190">
        <v>169.9</v>
      </c>
      <c r="I401" s="190"/>
      <c r="J401" s="189">
        <v>259</v>
      </c>
      <c r="K401" s="190"/>
      <c r="L401" s="189" t="s">
        <v>165</v>
      </c>
      <c r="M401" s="190">
        <v>86.3</v>
      </c>
      <c r="N401" s="190"/>
      <c r="O401" s="190">
        <v>83.7</v>
      </c>
      <c r="P401" s="190"/>
      <c r="Q401" s="189" t="s">
        <v>229</v>
      </c>
      <c r="R401" s="38">
        <v>65</v>
      </c>
    </row>
    <row r="402" spans="1:18" ht="15.75" customHeight="1">
      <c r="A402" s="193">
        <v>81</v>
      </c>
      <c r="B402" s="186">
        <v>1</v>
      </c>
      <c r="C402" s="35">
        <v>3.9</v>
      </c>
      <c r="D402" s="35"/>
      <c r="E402" s="35">
        <v>47.4</v>
      </c>
      <c r="F402" s="35"/>
      <c r="G402" s="35"/>
      <c r="H402" s="35">
        <v>175</v>
      </c>
      <c r="I402" s="35"/>
      <c r="J402" s="35"/>
      <c r="K402" s="35"/>
      <c r="L402" s="132" t="s">
        <v>165</v>
      </c>
      <c r="M402" s="35">
        <v>87.4</v>
      </c>
      <c r="N402" s="35"/>
      <c r="O402" s="35">
        <v>68.7</v>
      </c>
      <c r="P402" s="35"/>
      <c r="Q402" s="132" t="s">
        <v>229</v>
      </c>
      <c r="R402" s="36"/>
    </row>
    <row r="403" spans="1:18" ht="15.75" customHeight="1">
      <c r="A403" s="193">
        <v>81</v>
      </c>
      <c r="B403" s="186">
        <v>2</v>
      </c>
      <c r="C403" s="35">
        <v>-8.3000000000000007</v>
      </c>
      <c r="D403" s="35"/>
      <c r="E403" s="35">
        <v>40</v>
      </c>
      <c r="F403" s="35"/>
      <c r="G403" s="35"/>
      <c r="H403" s="35">
        <v>143.9</v>
      </c>
      <c r="I403" s="35"/>
      <c r="J403" s="35"/>
      <c r="K403" s="35"/>
      <c r="L403" s="132" t="s">
        <v>165</v>
      </c>
      <c r="M403" s="35">
        <v>73.2</v>
      </c>
      <c r="N403" s="35"/>
      <c r="O403" s="35">
        <v>61.7</v>
      </c>
      <c r="P403" s="35"/>
      <c r="Q403" s="132" t="s">
        <v>229</v>
      </c>
      <c r="R403" s="36"/>
    </row>
    <row r="404" spans="1:18" ht="15.75" customHeight="1">
      <c r="A404" s="193">
        <v>81</v>
      </c>
      <c r="B404" s="186">
        <v>3</v>
      </c>
      <c r="C404" s="35">
        <v>2.6</v>
      </c>
      <c r="D404" s="35"/>
      <c r="E404" s="35">
        <v>44.7</v>
      </c>
      <c r="F404" s="35"/>
      <c r="G404" s="35"/>
      <c r="H404" s="35">
        <v>174.4</v>
      </c>
      <c r="I404" s="35"/>
      <c r="J404" s="35"/>
      <c r="K404" s="35"/>
      <c r="L404" s="132" t="s">
        <v>165</v>
      </c>
      <c r="M404" s="35">
        <v>87.6</v>
      </c>
      <c r="N404" s="35"/>
      <c r="O404" s="35">
        <v>35.9</v>
      </c>
      <c r="P404" s="35"/>
      <c r="Q404" s="132" t="s">
        <v>229</v>
      </c>
      <c r="R404" s="36"/>
    </row>
    <row r="405" spans="1:18" ht="15.75" customHeight="1">
      <c r="A405" s="193">
        <v>81</v>
      </c>
      <c r="B405" s="186">
        <v>4</v>
      </c>
      <c r="C405" s="35">
        <v>4.8</v>
      </c>
      <c r="D405" s="35"/>
      <c r="E405" s="35">
        <v>44.4</v>
      </c>
      <c r="F405" s="35"/>
      <c r="G405" s="35"/>
      <c r="H405" s="35">
        <v>173.3</v>
      </c>
      <c r="I405" s="35"/>
      <c r="J405" s="35"/>
      <c r="K405" s="35"/>
      <c r="L405" s="132" t="s">
        <v>165</v>
      </c>
      <c r="M405" s="35">
        <v>84.3</v>
      </c>
      <c r="N405" s="35"/>
      <c r="O405" s="35">
        <v>26.1</v>
      </c>
      <c r="P405" s="35"/>
      <c r="Q405" s="132" t="s">
        <v>229</v>
      </c>
      <c r="R405" s="36"/>
    </row>
    <row r="406" spans="1:18" ht="15.75" customHeight="1">
      <c r="A406" s="191">
        <v>81</v>
      </c>
      <c r="B406" s="188">
        <v>5</v>
      </c>
      <c r="C406" s="190">
        <v>3.8</v>
      </c>
      <c r="D406" s="190"/>
      <c r="E406" s="190">
        <v>42.9</v>
      </c>
      <c r="F406" s="190"/>
      <c r="G406" s="190"/>
      <c r="H406" s="190">
        <v>171.4</v>
      </c>
      <c r="I406" s="190"/>
      <c r="J406" s="190"/>
      <c r="K406" s="190"/>
      <c r="L406" s="189" t="s">
        <v>165</v>
      </c>
      <c r="M406" s="190">
        <v>87.8</v>
      </c>
      <c r="N406" s="190"/>
      <c r="O406" s="190">
        <v>25.1</v>
      </c>
      <c r="P406" s="190"/>
      <c r="Q406" s="189" t="s">
        <v>229</v>
      </c>
      <c r="R406" s="38"/>
    </row>
    <row r="407" spans="1:18" ht="15.75" customHeight="1">
      <c r="A407" s="193">
        <v>82</v>
      </c>
      <c r="B407" s="186">
        <v>1</v>
      </c>
      <c r="C407" s="35">
        <v>4.1399999999999997</v>
      </c>
      <c r="D407" s="35"/>
      <c r="E407" s="35"/>
      <c r="F407" s="35"/>
      <c r="G407" s="35"/>
      <c r="H407" s="35">
        <v>178.48</v>
      </c>
      <c r="I407" s="35"/>
      <c r="J407" s="35"/>
      <c r="K407" s="35"/>
      <c r="L407" s="132" t="s">
        <v>165</v>
      </c>
      <c r="M407" s="35"/>
      <c r="N407" s="35"/>
      <c r="O407" s="35"/>
      <c r="P407" s="35"/>
      <c r="Q407" s="35"/>
      <c r="R407" s="36"/>
    </row>
    <row r="408" spans="1:18" ht="15.75" customHeight="1">
      <c r="A408" s="193">
        <v>82</v>
      </c>
      <c r="B408" s="186">
        <v>2</v>
      </c>
      <c r="C408" s="35">
        <v>-2.37</v>
      </c>
      <c r="D408" s="35"/>
      <c r="E408" s="35"/>
      <c r="F408" s="35"/>
      <c r="G408" s="35"/>
      <c r="H408" s="35">
        <v>127.32</v>
      </c>
      <c r="I408" s="35"/>
      <c r="J408" s="35"/>
      <c r="K408" s="35"/>
      <c r="L408" s="132" t="s">
        <v>165</v>
      </c>
      <c r="M408" s="35"/>
      <c r="N408" s="35"/>
      <c r="O408" s="35"/>
      <c r="P408" s="35"/>
      <c r="Q408" s="35"/>
      <c r="R408" s="36"/>
    </row>
    <row r="409" spans="1:18" ht="15.75" customHeight="1">
      <c r="A409" s="193">
        <v>82</v>
      </c>
      <c r="B409" s="186">
        <v>3</v>
      </c>
      <c r="C409" s="35">
        <v>-5.6</v>
      </c>
      <c r="D409" s="35"/>
      <c r="E409" s="35"/>
      <c r="F409" s="35"/>
      <c r="G409" s="35"/>
      <c r="H409" s="35">
        <v>91.94</v>
      </c>
      <c r="I409" s="35"/>
      <c r="J409" s="35"/>
      <c r="K409" s="35"/>
      <c r="L409" s="132" t="s">
        <v>165</v>
      </c>
      <c r="M409" s="35"/>
      <c r="N409" s="35"/>
      <c r="O409" s="35"/>
      <c r="P409" s="35"/>
      <c r="Q409" s="35"/>
      <c r="R409" s="36"/>
    </row>
    <row r="410" spans="1:18" ht="15.75" customHeight="1">
      <c r="A410" s="193">
        <v>82</v>
      </c>
      <c r="B410" s="186">
        <v>4</v>
      </c>
      <c r="C410" s="35">
        <v>-12.12</v>
      </c>
      <c r="D410" s="35"/>
      <c r="E410" s="35"/>
      <c r="F410" s="35"/>
      <c r="G410" s="35"/>
      <c r="H410" s="35">
        <v>90.58</v>
      </c>
      <c r="I410" s="35"/>
      <c r="J410" s="35"/>
      <c r="K410" s="35"/>
      <c r="L410" s="132" t="s">
        <v>165</v>
      </c>
      <c r="M410" s="35"/>
      <c r="N410" s="35"/>
      <c r="O410" s="35"/>
      <c r="P410" s="35"/>
      <c r="Q410" s="35"/>
      <c r="R410" s="36"/>
    </row>
    <row r="411" spans="1:18" ht="15.75" customHeight="1">
      <c r="A411" s="191">
        <v>82</v>
      </c>
      <c r="B411" s="188">
        <v>5</v>
      </c>
      <c r="C411" s="190">
        <v>-14.83</v>
      </c>
      <c r="D411" s="190"/>
      <c r="E411" s="190"/>
      <c r="F411" s="190"/>
      <c r="G411" s="190"/>
      <c r="H411" s="190">
        <v>95.59</v>
      </c>
      <c r="I411" s="190"/>
      <c r="J411" s="190"/>
      <c r="K411" s="190"/>
      <c r="L411" s="189" t="s">
        <v>165</v>
      </c>
      <c r="M411" s="190"/>
      <c r="N411" s="190"/>
      <c r="O411" s="190"/>
      <c r="P411" s="190"/>
      <c r="Q411" s="190"/>
      <c r="R411" s="38"/>
    </row>
    <row r="412" spans="1:18" ht="15.75" customHeight="1">
      <c r="A412" s="193">
        <v>83</v>
      </c>
      <c r="B412" s="186">
        <v>1</v>
      </c>
      <c r="H412" s="132">
        <v>145.5</v>
      </c>
      <c r="L412" s="132" t="s">
        <v>165</v>
      </c>
      <c r="R412" s="6"/>
    </row>
    <row r="413" spans="1:18" ht="15.75" customHeight="1">
      <c r="A413" s="193">
        <v>83</v>
      </c>
      <c r="B413" s="186">
        <v>2</v>
      </c>
      <c r="H413" s="132">
        <v>140.4</v>
      </c>
      <c r="L413" s="132" t="s">
        <v>165</v>
      </c>
      <c r="R413" s="6"/>
    </row>
    <row r="414" spans="1:18" ht="15.75" customHeight="1">
      <c r="A414" s="193">
        <v>83</v>
      </c>
      <c r="B414" s="186">
        <v>3</v>
      </c>
      <c r="H414" s="132">
        <v>141</v>
      </c>
      <c r="L414" s="132" t="s">
        <v>165</v>
      </c>
      <c r="R414" s="6"/>
    </row>
    <row r="415" spans="1:18" ht="15.75" customHeight="1">
      <c r="A415" s="193">
        <v>83</v>
      </c>
      <c r="B415" s="186">
        <v>4</v>
      </c>
      <c r="H415" s="132">
        <v>140</v>
      </c>
      <c r="L415" s="132" t="s">
        <v>165</v>
      </c>
      <c r="R415" s="6"/>
    </row>
    <row r="416" spans="1:18" ht="15.75" customHeight="1">
      <c r="A416" s="193">
        <v>83</v>
      </c>
      <c r="B416" s="186">
        <v>5</v>
      </c>
      <c r="H416" s="132">
        <v>137.30000000000001</v>
      </c>
      <c r="L416" s="132" t="s">
        <v>165</v>
      </c>
      <c r="R416" s="6"/>
    </row>
    <row r="417" spans="1:18" ht="15.75" customHeight="1">
      <c r="A417" s="193">
        <v>83</v>
      </c>
      <c r="B417" s="186">
        <v>6</v>
      </c>
      <c r="H417" s="132">
        <v>140</v>
      </c>
      <c r="L417" s="132" t="s">
        <v>165</v>
      </c>
      <c r="R417" s="6"/>
    </row>
    <row r="418" spans="1:18" ht="15.75" customHeight="1">
      <c r="A418" s="191">
        <v>83</v>
      </c>
      <c r="B418" s="188">
        <v>7</v>
      </c>
      <c r="C418" s="195"/>
      <c r="D418" s="195"/>
      <c r="E418" s="195"/>
      <c r="F418" s="195"/>
      <c r="G418" s="195"/>
      <c r="H418" s="189">
        <v>140</v>
      </c>
      <c r="I418" s="195"/>
      <c r="J418" s="195"/>
      <c r="K418" s="195"/>
      <c r="L418" s="189" t="s">
        <v>165</v>
      </c>
      <c r="M418" s="195"/>
      <c r="N418" s="195"/>
      <c r="O418" s="195"/>
      <c r="P418" s="195"/>
      <c r="Q418" s="195"/>
      <c r="R418" s="41"/>
    </row>
    <row r="419" spans="1:18" ht="15.75" customHeight="1">
      <c r="A419" s="193">
        <v>84</v>
      </c>
      <c r="B419" s="186">
        <v>1</v>
      </c>
      <c r="C419" s="35"/>
      <c r="D419" s="35"/>
      <c r="E419" s="35">
        <v>126.63</v>
      </c>
      <c r="F419" s="35"/>
      <c r="G419" s="35"/>
      <c r="H419" s="35">
        <v>175.89</v>
      </c>
      <c r="I419" s="35"/>
      <c r="J419" s="35"/>
      <c r="K419" s="35"/>
      <c r="L419" s="132" t="s">
        <v>165</v>
      </c>
      <c r="M419" s="35">
        <v>74.599999999999994</v>
      </c>
      <c r="N419" s="35"/>
      <c r="O419" s="35">
        <v>80.5</v>
      </c>
      <c r="P419" s="35"/>
      <c r="Q419" s="132" t="s">
        <v>229</v>
      </c>
      <c r="R419" s="36">
        <v>51.1</v>
      </c>
    </row>
    <row r="420" spans="1:18" ht="15.75" customHeight="1">
      <c r="A420" s="193">
        <v>84</v>
      </c>
      <c r="B420" s="186">
        <v>2</v>
      </c>
      <c r="C420" s="35"/>
      <c r="D420" s="35"/>
      <c r="E420" s="35">
        <v>124.6</v>
      </c>
      <c r="F420" s="35"/>
      <c r="G420" s="35"/>
      <c r="H420" s="35">
        <v>175.18</v>
      </c>
      <c r="I420" s="35"/>
      <c r="J420" s="35"/>
      <c r="K420" s="35"/>
      <c r="L420" s="132" t="s">
        <v>165</v>
      </c>
      <c r="M420" s="35">
        <v>78.8</v>
      </c>
      <c r="N420" s="35"/>
      <c r="O420" s="35">
        <v>79.900000000000006</v>
      </c>
      <c r="P420" s="35"/>
      <c r="Q420" s="132" t="s">
        <v>229</v>
      </c>
      <c r="R420" s="36">
        <v>54</v>
      </c>
    </row>
    <row r="421" spans="1:18" ht="15.75" customHeight="1">
      <c r="A421" s="193">
        <v>84</v>
      </c>
      <c r="B421" s="186">
        <v>3</v>
      </c>
      <c r="C421" s="35"/>
      <c r="D421" s="35"/>
      <c r="E421" s="35">
        <v>125.72</v>
      </c>
      <c r="F421" s="35"/>
      <c r="G421" s="35"/>
      <c r="H421" s="35">
        <v>172.98</v>
      </c>
      <c r="I421" s="35"/>
      <c r="J421" s="35"/>
      <c r="K421" s="35"/>
      <c r="L421" s="132" t="s">
        <v>165</v>
      </c>
      <c r="M421" s="35">
        <v>87.5</v>
      </c>
      <c r="N421" s="35"/>
      <c r="O421" s="35">
        <v>80.7</v>
      </c>
      <c r="P421" s="35"/>
      <c r="Q421" s="132" t="s">
        <v>229</v>
      </c>
      <c r="R421" s="36">
        <v>60.2</v>
      </c>
    </row>
    <row r="422" spans="1:18" ht="15.75" customHeight="1">
      <c r="A422" s="193">
        <v>84</v>
      </c>
      <c r="B422" s="186">
        <v>4</v>
      </c>
      <c r="C422" s="35"/>
      <c r="D422" s="35"/>
      <c r="E422" s="35">
        <v>125.88</v>
      </c>
      <c r="F422" s="35"/>
      <c r="G422" s="35"/>
      <c r="H422" s="35">
        <v>176.51</v>
      </c>
      <c r="I422" s="35"/>
      <c r="J422" s="35"/>
      <c r="K422" s="35"/>
      <c r="L422" s="132" t="s">
        <v>165</v>
      </c>
      <c r="M422" s="35">
        <v>82.6</v>
      </c>
      <c r="N422" s="35"/>
      <c r="O422" s="35">
        <v>79.5</v>
      </c>
      <c r="P422" s="35"/>
      <c r="Q422" s="132" t="s">
        <v>229</v>
      </c>
      <c r="R422" s="36">
        <v>57.1</v>
      </c>
    </row>
    <row r="423" spans="1:18" ht="15.75" customHeight="1">
      <c r="A423" s="193">
        <v>84</v>
      </c>
      <c r="B423" s="186">
        <v>5</v>
      </c>
      <c r="C423" s="35"/>
      <c r="D423" s="35"/>
      <c r="E423" s="35">
        <v>125.92</v>
      </c>
      <c r="F423" s="35"/>
      <c r="G423" s="35"/>
      <c r="H423" s="35">
        <v>176.99</v>
      </c>
      <c r="I423" s="35"/>
      <c r="J423" s="35"/>
      <c r="K423" s="35"/>
      <c r="L423" s="132" t="s">
        <v>165</v>
      </c>
      <c r="M423" s="35">
        <v>81.5</v>
      </c>
      <c r="N423" s="35"/>
      <c r="O423" s="35">
        <v>79.599999999999994</v>
      </c>
      <c r="P423" s="35"/>
      <c r="Q423" s="132" t="s">
        <v>229</v>
      </c>
      <c r="R423" s="36">
        <v>57.5</v>
      </c>
    </row>
    <row r="424" spans="1:18" ht="15.75" customHeight="1">
      <c r="A424" s="193">
        <v>84</v>
      </c>
      <c r="B424" s="186">
        <v>6</v>
      </c>
      <c r="C424" s="35"/>
      <c r="D424" s="35"/>
      <c r="E424" s="35">
        <v>125.41</v>
      </c>
      <c r="F424" s="35"/>
      <c r="G424" s="35"/>
      <c r="H424" s="35">
        <v>175.29</v>
      </c>
      <c r="I424" s="35"/>
      <c r="J424" s="35"/>
      <c r="K424" s="35"/>
      <c r="L424" s="132" t="s">
        <v>165</v>
      </c>
      <c r="M424" s="35">
        <v>87</v>
      </c>
      <c r="N424" s="35"/>
      <c r="O424" s="35">
        <v>84.5</v>
      </c>
      <c r="P424" s="35"/>
      <c r="Q424" s="132" t="s">
        <v>229</v>
      </c>
      <c r="R424" s="36">
        <v>59.7</v>
      </c>
    </row>
    <row r="425" spans="1:18" ht="15.75" customHeight="1">
      <c r="A425" s="193">
        <v>84</v>
      </c>
      <c r="B425" s="186">
        <v>7</v>
      </c>
      <c r="C425" s="35"/>
      <c r="D425" s="35"/>
      <c r="E425" s="35">
        <v>124.93</v>
      </c>
      <c r="F425" s="35"/>
      <c r="G425" s="35"/>
      <c r="H425" s="35">
        <v>174.13</v>
      </c>
      <c r="I425" s="35"/>
      <c r="J425" s="35"/>
      <c r="K425" s="35"/>
      <c r="L425" s="132" t="s">
        <v>165</v>
      </c>
      <c r="M425" s="35">
        <v>82.9</v>
      </c>
      <c r="N425" s="35"/>
      <c r="O425" s="35">
        <v>82.2</v>
      </c>
      <c r="P425" s="35"/>
      <c r="Q425" s="132" t="s">
        <v>229</v>
      </c>
      <c r="R425" s="36">
        <v>57.1</v>
      </c>
    </row>
    <row r="426" spans="1:18" ht="15.75" customHeight="1">
      <c r="A426" s="193">
        <v>84</v>
      </c>
      <c r="B426" s="186">
        <v>8</v>
      </c>
      <c r="C426" s="35"/>
      <c r="D426" s="35"/>
      <c r="E426" s="35">
        <v>126.69</v>
      </c>
      <c r="F426" s="35"/>
      <c r="G426" s="35"/>
      <c r="H426" s="35">
        <v>179.47</v>
      </c>
      <c r="I426" s="35"/>
      <c r="J426" s="35"/>
      <c r="K426" s="35"/>
      <c r="L426" s="132" t="s">
        <v>165</v>
      </c>
      <c r="M426" s="35">
        <v>79.400000000000006</v>
      </c>
      <c r="N426" s="35"/>
      <c r="O426" s="35">
        <v>77.8</v>
      </c>
      <c r="P426" s="35"/>
      <c r="Q426" s="132" t="s">
        <v>229</v>
      </c>
      <c r="R426" s="36">
        <v>54.9</v>
      </c>
    </row>
    <row r="427" spans="1:18" ht="15.75" customHeight="1">
      <c r="A427" s="191">
        <v>84</v>
      </c>
      <c r="B427" s="188">
        <v>9</v>
      </c>
      <c r="C427" s="190"/>
      <c r="D427" s="190"/>
      <c r="E427" s="190">
        <v>125.68</v>
      </c>
      <c r="F427" s="190"/>
      <c r="G427" s="190"/>
      <c r="H427" s="190">
        <v>176.29</v>
      </c>
      <c r="I427" s="190"/>
      <c r="J427" s="190"/>
      <c r="K427" s="190"/>
      <c r="L427" s="189" t="s">
        <v>165</v>
      </c>
      <c r="M427" s="190">
        <v>69.3</v>
      </c>
      <c r="N427" s="190"/>
      <c r="O427" s="190">
        <v>78.599999999999994</v>
      </c>
      <c r="P427" s="190"/>
      <c r="Q427" s="189" t="s">
        <v>229</v>
      </c>
      <c r="R427" s="38">
        <v>48.9</v>
      </c>
    </row>
    <row r="428" spans="1:18" ht="15.75" customHeight="1">
      <c r="A428" s="193">
        <v>85</v>
      </c>
      <c r="B428" s="186">
        <v>1</v>
      </c>
      <c r="C428" s="35">
        <v>2.25</v>
      </c>
      <c r="D428" s="35"/>
      <c r="E428" s="35"/>
      <c r="F428" s="35"/>
      <c r="G428" s="35"/>
      <c r="H428" s="35">
        <v>151.19999999999999</v>
      </c>
      <c r="I428" s="35"/>
      <c r="J428" s="35"/>
      <c r="K428" s="35"/>
      <c r="L428" s="132" t="s">
        <v>165</v>
      </c>
      <c r="M428" s="35"/>
      <c r="N428" s="35"/>
      <c r="O428" s="35"/>
      <c r="P428" s="35"/>
      <c r="Q428" s="35"/>
      <c r="R428" s="36">
        <v>47.81</v>
      </c>
    </row>
    <row r="429" spans="1:18" ht="15.75" customHeight="1">
      <c r="A429" s="193">
        <v>85</v>
      </c>
      <c r="B429" s="186">
        <v>2</v>
      </c>
      <c r="C429" s="35">
        <v>-3.11</v>
      </c>
      <c r="D429" s="35"/>
      <c r="E429" s="35"/>
      <c r="F429" s="35"/>
      <c r="G429" s="35"/>
      <c r="H429" s="35">
        <v>140.4</v>
      </c>
      <c r="I429" s="35"/>
      <c r="J429" s="35"/>
      <c r="K429" s="35"/>
      <c r="L429" s="132" t="s">
        <v>165</v>
      </c>
      <c r="M429" s="35"/>
      <c r="N429" s="35"/>
      <c r="O429" s="35"/>
      <c r="P429" s="35"/>
      <c r="Q429" s="35"/>
      <c r="R429" s="36">
        <v>9.64</v>
      </c>
    </row>
    <row r="430" spans="1:18" ht="15.75" customHeight="1">
      <c r="A430" s="193">
        <v>85</v>
      </c>
      <c r="B430" s="186">
        <v>3</v>
      </c>
      <c r="C430" s="35">
        <v>-10.1</v>
      </c>
      <c r="D430" s="35"/>
      <c r="E430" s="35"/>
      <c r="F430" s="35"/>
      <c r="G430" s="35"/>
      <c r="H430" s="35"/>
      <c r="I430" s="35"/>
      <c r="J430" s="35"/>
      <c r="K430" s="35"/>
      <c r="L430" s="132" t="s">
        <v>165</v>
      </c>
      <c r="M430" s="35"/>
      <c r="N430" s="35"/>
      <c r="O430" s="35"/>
      <c r="P430" s="35"/>
      <c r="Q430" s="35"/>
      <c r="R430" s="36"/>
    </row>
    <row r="431" spans="1:18" ht="15.75" customHeight="1">
      <c r="A431" s="193">
        <v>85</v>
      </c>
      <c r="B431" s="186">
        <v>4</v>
      </c>
      <c r="C431" s="35">
        <v>-8.91</v>
      </c>
      <c r="D431" s="35">
        <v>-0.17</v>
      </c>
      <c r="E431" s="35"/>
      <c r="F431" s="35"/>
      <c r="G431" s="35"/>
      <c r="H431" s="35">
        <v>141.30000000000001</v>
      </c>
      <c r="I431" s="35"/>
      <c r="J431" s="35"/>
      <c r="K431" s="35"/>
      <c r="L431" s="132" t="s">
        <v>165</v>
      </c>
      <c r="M431" s="35"/>
      <c r="N431" s="35"/>
      <c r="O431" s="35"/>
      <c r="P431" s="35"/>
      <c r="Q431" s="35"/>
      <c r="R431" s="36">
        <v>24.91</v>
      </c>
    </row>
    <row r="432" spans="1:18" ht="15.75" customHeight="1">
      <c r="A432" s="191">
        <v>85</v>
      </c>
      <c r="B432" s="188">
        <v>5</v>
      </c>
      <c r="C432" s="190">
        <v>-7.34</v>
      </c>
      <c r="D432" s="190">
        <v>4.3499999999999996</v>
      </c>
      <c r="E432" s="190"/>
      <c r="F432" s="190"/>
      <c r="G432" s="190"/>
      <c r="H432" s="190">
        <v>143.6</v>
      </c>
      <c r="I432" s="190"/>
      <c r="J432" s="190"/>
      <c r="K432" s="190"/>
      <c r="L432" s="189" t="s">
        <v>165</v>
      </c>
      <c r="M432" s="190"/>
      <c r="N432" s="190"/>
      <c r="O432" s="190"/>
      <c r="P432" s="190"/>
      <c r="Q432" s="190"/>
      <c r="R432" s="38">
        <v>13.79</v>
      </c>
    </row>
    <row r="433" spans="1:18" ht="15.75" customHeight="1">
      <c r="A433" s="193">
        <v>86</v>
      </c>
      <c r="B433" s="186">
        <v>1</v>
      </c>
      <c r="C433" s="35"/>
      <c r="D433" s="35"/>
      <c r="E433" s="35"/>
      <c r="F433" s="35"/>
      <c r="G433" s="35"/>
      <c r="H433" s="132">
        <v>163.69999999999999</v>
      </c>
      <c r="I433" s="132">
        <v>169.7</v>
      </c>
      <c r="J433" s="35"/>
      <c r="K433" s="35"/>
      <c r="L433" s="132" t="s">
        <v>165</v>
      </c>
      <c r="M433" s="132">
        <v>94.42</v>
      </c>
      <c r="N433" s="35"/>
      <c r="O433" s="35"/>
      <c r="P433" s="35"/>
      <c r="Q433" s="35"/>
      <c r="R433" s="194">
        <v>71.53</v>
      </c>
    </row>
    <row r="434" spans="1:18" ht="15.75" customHeight="1">
      <c r="A434" s="193">
        <v>86</v>
      </c>
      <c r="B434" s="186">
        <v>2</v>
      </c>
      <c r="C434" s="35"/>
      <c r="D434" s="35"/>
      <c r="E434" s="35"/>
      <c r="F434" s="35"/>
      <c r="G434" s="35"/>
      <c r="H434" s="132">
        <v>160</v>
      </c>
      <c r="I434" s="132">
        <v>166.2</v>
      </c>
      <c r="J434" s="35"/>
      <c r="K434" s="35"/>
      <c r="L434" s="132" t="s">
        <v>165</v>
      </c>
      <c r="M434" s="132">
        <v>91.29</v>
      </c>
      <c r="N434" s="35"/>
      <c r="O434" s="35"/>
      <c r="P434" s="35"/>
      <c r="Q434" s="35"/>
      <c r="R434" s="194">
        <v>69.16</v>
      </c>
    </row>
    <row r="435" spans="1:18" ht="15.75" customHeight="1">
      <c r="A435" s="191">
        <v>86</v>
      </c>
      <c r="B435" s="188">
        <v>3</v>
      </c>
      <c r="C435" s="190"/>
      <c r="D435" s="190"/>
      <c r="E435" s="190"/>
      <c r="F435" s="190"/>
      <c r="G435" s="190"/>
      <c r="H435" s="189">
        <v>156.6</v>
      </c>
      <c r="I435" s="189">
        <v>162.19999999999999</v>
      </c>
      <c r="J435" s="190"/>
      <c r="K435" s="190"/>
      <c r="L435" s="189" t="s">
        <v>165</v>
      </c>
      <c r="M435" s="189">
        <v>83.8</v>
      </c>
      <c r="N435" s="190"/>
      <c r="O435" s="190"/>
      <c r="P435" s="190"/>
      <c r="Q435" s="190"/>
      <c r="R435" s="196">
        <v>63.5</v>
      </c>
    </row>
    <row r="436" spans="1:18" ht="15.75" customHeight="1">
      <c r="A436" s="193">
        <v>87</v>
      </c>
      <c r="B436" s="186">
        <v>1</v>
      </c>
      <c r="C436" s="35"/>
      <c r="D436" s="35"/>
      <c r="E436" s="35"/>
      <c r="F436" s="35"/>
      <c r="G436" s="35"/>
      <c r="H436" s="132">
        <v>173</v>
      </c>
      <c r="I436" s="35"/>
      <c r="J436" s="35"/>
      <c r="K436" s="35"/>
      <c r="L436" s="132" t="s">
        <v>165</v>
      </c>
      <c r="M436" s="35"/>
      <c r="N436" s="35"/>
      <c r="O436" s="35"/>
      <c r="P436" s="35"/>
      <c r="Q436" s="35"/>
      <c r="R436" s="194">
        <v>59</v>
      </c>
    </row>
    <row r="437" spans="1:18" ht="15.75" customHeight="1">
      <c r="A437" s="193">
        <v>87</v>
      </c>
      <c r="B437" s="186">
        <v>2</v>
      </c>
      <c r="C437" s="35"/>
      <c r="D437" s="35"/>
      <c r="E437" s="35"/>
      <c r="F437" s="35"/>
      <c r="G437" s="35"/>
      <c r="H437" s="132">
        <v>171</v>
      </c>
      <c r="I437" s="35"/>
      <c r="J437" s="35"/>
      <c r="K437" s="35"/>
      <c r="L437" s="132" t="s">
        <v>165</v>
      </c>
      <c r="M437" s="35"/>
      <c r="N437" s="35"/>
      <c r="O437" s="35"/>
      <c r="P437" s="35"/>
      <c r="Q437" s="35"/>
      <c r="R437" s="194">
        <v>66</v>
      </c>
    </row>
    <row r="438" spans="1:18" ht="15.75" customHeight="1">
      <c r="A438" s="193">
        <v>87</v>
      </c>
      <c r="B438" s="186">
        <v>3</v>
      </c>
      <c r="C438" s="35"/>
      <c r="D438" s="35"/>
      <c r="E438" s="35"/>
      <c r="F438" s="35"/>
      <c r="G438" s="35"/>
      <c r="H438" s="132">
        <v>171</v>
      </c>
      <c r="I438" s="35"/>
      <c r="J438" s="35"/>
      <c r="K438" s="35"/>
      <c r="L438" s="132" t="s">
        <v>165</v>
      </c>
      <c r="M438" s="35"/>
      <c r="N438" s="35"/>
      <c r="O438" s="35"/>
      <c r="P438" s="35"/>
      <c r="Q438" s="35"/>
      <c r="R438" s="194">
        <v>63</v>
      </c>
    </row>
    <row r="439" spans="1:18" ht="15.75" customHeight="1">
      <c r="A439" s="193">
        <v>87</v>
      </c>
      <c r="B439" s="186">
        <v>4</v>
      </c>
      <c r="C439" s="35"/>
      <c r="D439" s="35"/>
      <c r="E439" s="35"/>
      <c r="F439" s="35"/>
      <c r="G439" s="35"/>
      <c r="H439" s="132">
        <v>171</v>
      </c>
      <c r="I439" s="35"/>
      <c r="J439" s="35"/>
      <c r="K439" s="35"/>
      <c r="L439" s="132" t="s">
        <v>165</v>
      </c>
      <c r="M439" s="35"/>
      <c r="N439" s="35"/>
      <c r="O439" s="35"/>
      <c r="P439" s="35"/>
      <c r="Q439" s="35"/>
      <c r="R439" s="194">
        <v>64</v>
      </c>
    </row>
    <row r="440" spans="1:18" ht="15.75" customHeight="1">
      <c r="A440" s="193">
        <v>87</v>
      </c>
      <c r="B440" s="186">
        <v>5</v>
      </c>
      <c r="C440" s="35"/>
      <c r="D440" s="35"/>
      <c r="E440" s="35"/>
      <c r="F440" s="35"/>
      <c r="G440" s="35"/>
      <c r="H440" s="132">
        <v>171</v>
      </c>
      <c r="I440" s="35"/>
      <c r="J440" s="35"/>
      <c r="K440" s="35"/>
      <c r="L440" s="132" t="s">
        <v>165</v>
      </c>
      <c r="M440" s="35"/>
      <c r="N440" s="35"/>
      <c r="O440" s="35"/>
      <c r="P440" s="35"/>
      <c r="Q440" s="35"/>
      <c r="R440" s="194">
        <v>66</v>
      </c>
    </row>
    <row r="441" spans="1:18" ht="15.75" customHeight="1">
      <c r="A441" s="193">
        <v>87</v>
      </c>
      <c r="B441" s="186">
        <v>6</v>
      </c>
      <c r="C441" s="35"/>
      <c r="D441" s="35"/>
      <c r="E441" s="35"/>
      <c r="F441" s="35"/>
      <c r="G441" s="35"/>
      <c r="H441" s="132">
        <v>170</v>
      </c>
      <c r="I441" s="35"/>
      <c r="J441" s="35"/>
      <c r="K441" s="35"/>
      <c r="L441" s="132" t="s">
        <v>165</v>
      </c>
      <c r="M441" s="35"/>
      <c r="N441" s="35"/>
      <c r="O441" s="35"/>
      <c r="P441" s="35"/>
      <c r="Q441" s="35"/>
      <c r="R441" s="194">
        <v>57</v>
      </c>
    </row>
    <row r="442" spans="1:18" ht="15.75" customHeight="1">
      <c r="A442" s="193">
        <v>87</v>
      </c>
      <c r="B442" s="186">
        <v>7</v>
      </c>
      <c r="C442" s="35"/>
      <c r="D442" s="35"/>
      <c r="E442" s="35"/>
      <c r="F442" s="35"/>
      <c r="G442" s="35"/>
      <c r="H442" s="132">
        <v>169</v>
      </c>
      <c r="I442" s="35"/>
      <c r="J442" s="35"/>
      <c r="K442" s="35"/>
      <c r="L442" s="132" t="s">
        <v>165</v>
      </c>
      <c r="M442" s="35"/>
      <c r="N442" s="35"/>
      <c r="O442" s="35"/>
      <c r="P442" s="35"/>
      <c r="Q442" s="35"/>
      <c r="R442" s="194">
        <v>59</v>
      </c>
    </row>
    <row r="443" spans="1:18" ht="15.75" customHeight="1">
      <c r="A443" s="193">
        <v>87</v>
      </c>
      <c r="B443" s="186">
        <v>8</v>
      </c>
      <c r="C443" s="35"/>
      <c r="D443" s="35"/>
      <c r="E443" s="35"/>
      <c r="F443" s="35"/>
      <c r="G443" s="35"/>
      <c r="H443" s="132">
        <v>170</v>
      </c>
      <c r="I443" s="35"/>
      <c r="J443" s="35"/>
      <c r="K443" s="35"/>
      <c r="L443" s="132" t="s">
        <v>165</v>
      </c>
      <c r="M443" s="35"/>
      <c r="N443" s="35"/>
      <c r="O443" s="35"/>
      <c r="P443" s="35"/>
      <c r="Q443" s="35"/>
      <c r="R443" s="194">
        <v>56</v>
      </c>
    </row>
    <row r="444" spans="1:18" ht="15.75" customHeight="1">
      <c r="A444" s="193">
        <v>87</v>
      </c>
      <c r="B444" s="186">
        <v>9</v>
      </c>
      <c r="C444" s="35"/>
      <c r="D444" s="35"/>
      <c r="E444" s="35"/>
      <c r="F444" s="35"/>
      <c r="G444" s="35"/>
      <c r="H444" s="132">
        <v>170</v>
      </c>
      <c r="I444" s="35"/>
      <c r="J444" s="35"/>
      <c r="K444" s="35"/>
      <c r="L444" s="132" t="s">
        <v>165</v>
      </c>
      <c r="M444" s="35"/>
      <c r="N444" s="35"/>
      <c r="O444" s="35"/>
      <c r="P444" s="35"/>
      <c r="Q444" s="35"/>
      <c r="R444" s="194">
        <v>59</v>
      </c>
    </row>
    <row r="445" spans="1:18" ht="15.75" customHeight="1">
      <c r="A445" s="193">
        <v>87</v>
      </c>
      <c r="B445" s="186">
        <v>10</v>
      </c>
      <c r="C445" s="35"/>
      <c r="D445" s="35"/>
      <c r="E445" s="35"/>
      <c r="F445" s="35"/>
      <c r="G445" s="35"/>
      <c r="H445" s="132">
        <v>167</v>
      </c>
      <c r="I445" s="35"/>
      <c r="J445" s="35"/>
      <c r="K445" s="35"/>
      <c r="L445" s="132" t="s">
        <v>165</v>
      </c>
      <c r="M445" s="35"/>
      <c r="N445" s="35"/>
      <c r="O445" s="35"/>
      <c r="P445" s="35"/>
      <c r="Q445" s="35"/>
      <c r="R445" s="194">
        <v>58</v>
      </c>
    </row>
    <row r="446" spans="1:18" ht="15.75" customHeight="1">
      <c r="A446" s="193">
        <v>87</v>
      </c>
      <c r="B446" s="186">
        <v>11</v>
      </c>
      <c r="C446" s="35"/>
      <c r="D446" s="35"/>
      <c r="E446" s="35"/>
      <c r="F446" s="35"/>
      <c r="G446" s="35"/>
      <c r="H446" s="132">
        <v>165</v>
      </c>
      <c r="I446" s="35"/>
      <c r="J446" s="35"/>
      <c r="K446" s="35"/>
      <c r="L446" s="132" t="s">
        <v>165</v>
      </c>
      <c r="M446" s="35"/>
      <c r="N446" s="35"/>
      <c r="O446" s="35"/>
      <c r="P446" s="35"/>
      <c r="Q446" s="35"/>
      <c r="R446" s="194">
        <v>54</v>
      </c>
    </row>
    <row r="447" spans="1:18" ht="15.75" customHeight="1">
      <c r="A447" s="193">
        <v>87</v>
      </c>
      <c r="B447" s="186">
        <v>12</v>
      </c>
      <c r="C447" s="35"/>
      <c r="D447" s="35"/>
      <c r="E447" s="35"/>
      <c r="F447" s="35"/>
      <c r="G447" s="35"/>
      <c r="H447" s="132">
        <v>164</v>
      </c>
      <c r="I447" s="35"/>
      <c r="J447" s="35"/>
      <c r="K447" s="35"/>
      <c r="L447" s="132" t="s">
        <v>165</v>
      </c>
      <c r="M447" s="35"/>
      <c r="N447" s="35"/>
      <c r="O447" s="35"/>
      <c r="P447" s="35"/>
      <c r="Q447" s="35"/>
      <c r="R447" s="194">
        <v>49</v>
      </c>
    </row>
    <row r="448" spans="1:18" ht="15.75" customHeight="1">
      <c r="A448" s="193">
        <v>87</v>
      </c>
      <c r="B448" s="186">
        <v>13</v>
      </c>
      <c r="C448" s="35"/>
      <c r="D448" s="35"/>
      <c r="E448" s="35"/>
      <c r="F448" s="35"/>
      <c r="G448" s="35"/>
      <c r="H448" s="132">
        <v>170</v>
      </c>
      <c r="I448" s="35"/>
      <c r="J448" s="35"/>
      <c r="K448" s="35"/>
      <c r="L448" s="132" t="s">
        <v>165</v>
      </c>
      <c r="M448" s="35"/>
      <c r="N448" s="35"/>
      <c r="O448" s="35"/>
      <c r="P448" s="35"/>
      <c r="Q448" s="35"/>
      <c r="R448" s="194">
        <v>56</v>
      </c>
    </row>
    <row r="449" spans="1:18" ht="15.75" customHeight="1">
      <c r="A449" s="193">
        <v>87</v>
      </c>
      <c r="B449" s="186">
        <v>14</v>
      </c>
      <c r="C449" s="35"/>
      <c r="D449" s="35"/>
      <c r="E449" s="35"/>
      <c r="F449" s="35"/>
      <c r="G449" s="35"/>
      <c r="H449" s="132">
        <v>173</v>
      </c>
      <c r="I449" s="35"/>
      <c r="J449" s="35"/>
      <c r="K449" s="35"/>
      <c r="L449" s="132" t="s">
        <v>165</v>
      </c>
      <c r="M449" s="35"/>
      <c r="N449" s="35"/>
      <c r="O449" s="35"/>
      <c r="P449" s="35"/>
      <c r="Q449" s="35"/>
      <c r="R449" s="194">
        <v>57</v>
      </c>
    </row>
    <row r="450" spans="1:18" ht="15.75" customHeight="1">
      <c r="A450" s="193">
        <v>87</v>
      </c>
      <c r="B450" s="186">
        <v>15</v>
      </c>
      <c r="C450" s="35"/>
      <c r="D450" s="35"/>
      <c r="E450" s="35"/>
      <c r="F450" s="35"/>
      <c r="G450" s="35"/>
      <c r="H450" s="132">
        <v>171</v>
      </c>
      <c r="I450" s="35"/>
      <c r="J450" s="35"/>
      <c r="K450" s="35"/>
      <c r="L450" s="132" t="s">
        <v>165</v>
      </c>
      <c r="M450" s="35"/>
      <c r="N450" s="35"/>
      <c r="O450" s="35"/>
      <c r="P450" s="35"/>
      <c r="Q450" s="35"/>
      <c r="R450" s="194">
        <v>55</v>
      </c>
    </row>
    <row r="451" spans="1:18" ht="15.75" customHeight="1">
      <c r="A451" s="193">
        <v>87</v>
      </c>
      <c r="B451" s="186">
        <v>16</v>
      </c>
      <c r="C451" s="35"/>
      <c r="D451" s="35"/>
      <c r="E451" s="35"/>
      <c r="F451" s="35"/>
      <c r="G451" s="35"/>
      <c r="H451" s="132">
        <v>170</v>
      </c>
      <c r="I451" s="35"/>
      <c r="J451" s="35"/>
      <c r="K451" s="35"/>
      <c r="L451" s="132" t="s">
        <v>165</v>
      </c>
      <c r="M451" s="35"/>
      <c r="N451" s="35"/>
      <c r="O451" s="35"/>
      <c r="P451" s="35"/>
      <c r="Q451" s="35"/>
      <c r="R451" s="194">
        <v>67</v>
      </c>
    </row>
    <row r="452" spans="1:18" ht="15.75" customHeight="1">
      <c r="A452" s="193">
        <v>87</v>
      </c>
      <c r="B452" s="186">
        <v>17</v>
      </c>
      <c r="C452" s="35"/>
      <c r="D452" s="35"/>
      <c r="E452" s="35"/>
      <c r="F452" s="35"/>
      <c r="G452" s="35"/>
      <c r="H452" s="132">
        <v>169</v>
      </c>
      <c r="I452" s="35"/>
      <c r="J452" s="35"/>
      <c r="K452" s="35"/>
      <c r="L452" s="132" t="s">
        <v>165</v>
      </c>
      <c r="M452" s="35"/>
      <c r="N452" s="35"/>
      <c r="O452" s="35"/>
      <c r="P452" s="35"/>
      <c r="Q452" s="35"/>
      <c r="R452" s="194">
        <v>62</v>
      </c>
    </row>
    <row r="453" spans="1:18" ht="15.75" customHeight="1">
      <c r="A453" s="193">
        <v>87</v>
      </c>
      <c r="B453" s="186">
        <v>18</v>
      </c>
      <c r="C453" s="35"/>
      <c r="D453" s="35"/>
      <c r="E453" s="35"/>
      <c r="F453" s="35"/>
      <c r="G453" s="35"/>
      <c r="H453" s="132">
        <v>169</v>
      </c>
      <c r="I453" s="35"/>
      <c r="J453" s="35"/>
      <c r="K453" s="35"/>
      <c r="L453" s="132" t="s">
        <v>165</v>
      </c>
      <c r="M453" s="35"/>
      <c r="N453" s="35"/>
      <c r="O453" s="35"/>
      <c r="P453" s="35"/>
      <c r="Q453" s="35"/>
      <c r="R453" s="194">
        <v>62</v>
      </c>
    </row>
    <row r="454" spans="1:18" ht="15.75" customHeight="1">
      <c r="A454" s="193">
        <v>87</v>
      </c>
      <c r="B454" s="186">
        <v>19</v>
      </c>
      <c r="C454" s="35"/>
      <c r="D454" s="35"/>
      <c r="E454" s="35"/>
      <c r="F454" s="35"/>
      <c r="G454" s="35"/>
      <c r="H454" s="132">
        <v>170</v>
      </c>
      <c r="I454" s="35"/>
      <c r="J454" s="35"/>
      <c r="K454" s="35"/>
      <c r="L454" s="132" t="s">
        <v>165</v>
      </c>
      <c r="M454" s="35"/>
      <c r="N454" s="35"/>
      <c r="O454" s="35"/>
      <c r="P454" s="35"/>
      <c r="Q454" s="35"/>
      <c r="R454" s="194">
        <v>58</v>
      </c>
    </row>
    <row r="455" spans="1:18" ht="15.75" customHeight="1">
      <c r="A455" s="193">
        <v>87</v>
      </c>
      <c r="B455" s="186">
        <v>20</v>
      </c>
      <c r="C455" s="35"/>
      <c r="D455" s="35"/>
      <c r="E455" s="35"/>
      <c r="F455" s="35"/>
      <c r="G455" s="35"/>
      <c r="H455" s="132">
        <v>169</v>
      </c>
      <c r="I455" s="35"/>
      <c r="J455" s="35"/>
      <c r="K455" s="35"/>
      <c r="L455" s="132" t="s">
        <v>165</v>
      </c>
      <c r="M455" s="35"/>
      <c r="N455" s="35"/>
      <c r="O455" s="35"/>
      <c r="P455" s="35"/>
      <c r="Q455" s="35"/>
      <c r="R455" s="194">
        <v>62</v>
      </c>
    </row>
    <row r="456" spans="1:18" ht="15.75" customHeight="1">
      <c r="A456" s="193">
        <v>87</v>
      </c>
      <c r="B456" s="186">
        <v>21</v>
      </c>
      <c r="C456" s="35"/>
      <c r="D456" s="35"/>
      <c r="E456" s="35"/>
      <c r="F456" s="35"/>
      <c r="G456" s="35"/>
      <c r="H456" s="132">
        <v>169</v>
      </c>
      <c r="I456" s="35"/>
      <c r="J456" s="35"/>
      <c r="K456" s="35"/>
      <c r="L456" s="132" t="s">
        <v>165</v>
      </c>
      <c r="M456" s="35"/>
      <c r="N456" s="35"/>
      <c r="O456" s="35"/>
      <c r="P456" s="35"/>
      <c r="Q456" s="35"/>
      <c r="R456" s="194">
        <v>61</v>
      </c>
    </row>
    <row r="457" spans="1:18" ht="15.75" customHeight="1">
      <c r="A457" s="191">
        <v>87</v>
      </c>
      <c r="B457" s="188">
        <v>22</v>
      </c>
      <c r="C457" s="190"/>
      <c r="D457" s="190"/>
      <c r="E457" s="190"/>
      <c r="F457" s="190"/>
      <c r="G457" s="190"/>
      <c r="H457" s="189">
        <v>170</v>
      </c>
      <c r="I457" s="190"/>
      <c r="J457" s="190"/>
      <c r="K457" s="190"/>
      <c r="L457" s="189" t="s">
        <v>165</v>
      </c>
      <c r="M457" s="190"/>
      <c r="N457" s="190"/>
      <c r="O457" s="190"/>
      <c r="P457" s="190"/>
      <c r="Q457" s="190"/>
      <c r="R457" s="196">
        <v>63</v>
      </c>
    </row>
    <row r="458" spans="1:18" ht="15.75" customHeight="1">
      <c r="A458" s="193">
        <v>88</v>
      </c>
      <c r="B458" s="186">
        <v>1</v>
      </c>
      <c r="C458" s="35"/>
      <c r="D458" s="35"/>
      <c r="E458" s="35"/>
      <c r="F458" s="35"/>
      <c r="G458" s="35"/>
      <c r="H458" s="132">
        <v>170.7</v>
      </c>
      <c r="I458" s="35"/>
      <c r="J458" s="132">
        <v>277.3</v>
      </c>
      <c r="K458" s="132">
        <v>305.60000000000002</v>
      </c>
      <c r="L458" s="132" t="s">
        <v>165</v>
      </c>
      <c r="M458" s="132">
        <v>89.4</v>
      </c>
      <c r="N458" s="35"/>
      <c r="O458" s="35"/>
      <c r="P458" s="35"/>
      <c r="Q458" s="132" t="s">
        <v>229</v>
      </c>
      <c r="R458" s="194">
        <v>61</v>
      </c>
    </row>
    <row r="459" spans="1:18" ht="15.75" customHeight="1">
      <c r="A459" s="193">
        <v>88</v>
      </c>
      <c r="B459" s="186">
        <v>2</v>
      </c>
      <c r="C459" s="35"/>
      <c r="D459" s="35"/>
      <c r="E459" s="35"/>
      <c r="F459" s="35"/>
      <c r="G459" s="35"/>
      <c r="H459" s="132">
        <v>171.5</v>
      </c>
      <c r="I459" s="132">
        <v>173.5</v>
      </c>
      <c r="J459" s="132">
        <v>260.7</v>
      </c>
      <c r="K459" s="132">
        <v>278.8</v>
      </c>
      <c r="L459" s="132" t="s">
        <v>165</v>
      </c>
      <c r="M459" s="132">
        <v>92.6</v>
      </c>
      <c r="N459" s="35"/>
      <c r="O459" s="35"/>
      <c r="P459" s="35"/>
      <c r="Q459" s="132" t="s">
        <v>229</v>
      </c>
      <c r="R459" s="194">
        <v>63.8</v>
      </c>
    </row>
    <row r="460" spans="1:18" ht="15.75" customHeight="1">
      <c r="A460" s="193">
        <v>88</v>
      </c>
      <c r="B460" s="186">
        <v>3</v>
      </c>
      <c r="C460" s="35"/>
      <c r="D460" s="35"/>
      <c r="E460" s="35"/>
      <c r="F460" s="35"/>
      <c r="G460" s="35"/>
      <c r="H460" s="132">
        <v>164.1</v>
      </c>
      <c r="I460" s="132">
        <v>171.4</v>
      </c>
      <c r="J460" s="132">
        <v>242.6</v>
      </c>
      <c r="K460" s="132">
        <v>264.5</v>
      </c>
      <c r="L460" s="132" t="s">
        <v>165</v>
      </c>
      <c r="M460" s="132">
        <v>91.3</v>
      </c>
      <c r="N460" s="35"/>
      <c r="O460" s="35"/>
      <c r="P460" s="35"/>
      <c r="Q460" s="132" t="s">
        <v>229</v>
      </c>
      <c r="R460" s="194">
        <v>64.2</v>
      </c>
    </row>
    <row r="461" spans="1:18" ht="15.75" customHeight="1">
      <c r="A461" s="193">
        <v>88</v>
      </c>
      <c r="B461" s="186">
        <v>4</v>
      </c>
      <c r="C461" s="35"/>
      <c r="D461" s="35"/>
      <c r="E461" s="35"/>
      <c r="F461" s="35"/>
      <c r="G461" s="35"/>
      <c r="H461" s="132">
        <v>154.19999999999999</v>
      </c>
      <c r="I461" s="132">
        <v>165.7</v>
      </c>
      <c r="J461" s="132">
        <v>235.4</v>
      </c>
      <c r="K461" s="132">
        <v>259.10000000000002</v>
      </c>
      <c r="L461" s="132" t="s">
        <v>165</v>
      </c>
      <c r="M461" s="132">
        <v>89.9</v>
      </c>
      <c r="N461" s="35"/>
      <c r="O461" s="35"/>
      <c r="P461" s="35"/>
      <c r="Q461" s="132" t="s">
        <v>229</v>
      </c>
      <c r="R461" s="194">
        <v>64.599999999999994</v>
      </c>
    </row>
    <row r="462" spans="1:18" ht="15.75" customHeight="1">
      <c r="A462" s="191">
        <v>88</v>
      </c>
      <c r="B462" s="188">
        <v>5</v>
      </c>
      <c r="C462" s="190"/>
      <c r="D462" s="190"/>
      <c r="E462" s="190"/>
      <c r="F462" s="190"/>
      <c r="G462" s="190"/>
      <c r="H462" s="189">
        <v>144.4</v>
      </c>
      <c r="I462" s="189">
        <v>158.4</v>
      </c>
      <c r="J462" s="189">
        <v>227.1</v>
      </c>
      <c r="K462" s="189">
        <v>240.4</v>
      </c>
      <c r="L462" s="189" t="s">
        <v>165</v>
      </c>
      <c r="M462" s="189">
        <v>85.6</v>
      </c>
      <c r="N462" s="190"/>
      <c r="O462" s="190"/>
      <c r="P462" s="190"/>
      <c r="Q462" s="189" t="s">
        <v>229</v>
      </c>
      <c r="R462" s="196">
        <v>64.900000000000006</v>
      </c>
    </row>
    <row r="463" spans="1:18" ht="15.75" customHeight="1">
      <c r="A463" s="193">
        <v>89</v>
      </c>
      <c r="B463" s="186">
        <v>1</v>
      </c>
      <c r="C463" s="35"/>
      <c r="D463" s="35"/>
      <c r="E463" s="35"/>
      <c r="F463" s="35"/>
      <c r="G463" s="35"/>
      <c r="H463" s="132">
        <v>145</v>
      </c>
      <c r="I463" s="132">
        <v>157</v>
      </c>
      <c r="J463" s="35"/>
      <c r="K463" s="35"/>
      <c r="L463" s="132" t="s">
        <v>165</v>
      </c>
      <c r="M463" s="132">
        <v>47</v>
      </c>
      <c r="N463" s="35"/>
      <c r="O463" s="35"/>
      <c r="P463" s="35"/>
      <c r="Q463" s="132" t="s">
        <v>229</v>
      </c>
      <c r="R463" s="36"/>
    </row>
    <row r="464" spans="1:18" ht="15.75" customHeight="1">
      <c r="A464" s="193">
        <v>89</v>
      </c>
      <c r="B464" s="186">
        <v>2</v>
      </c>
      <c r="C464" s="35"/>
      <c r="D464" s="35"/>
      <c r="E464" s="35"/>
      <c r="F464" s="35"/>
      <c r="G464" s="35"/>
      <c r="H464" s="132">
        <v>139</v>
      </c>
      <c r="I464" s="132">
        <v>154</v>
      </c>
      <c r="J464" s="35"/>
      <c r="K464" s="35"/>
      <c r="L464" s="132" t="s">
        <v>165</v>
      </c>
      <c r="M464" s="132">
        <v>28</v>
      </c>
      <c r="N464" s="35"/>
      <c r="O464" s="35"/>
      <c r="P464" s="35"/>
      <c r="Q464" s="132" t="s">
        <v>229</v>
      </c>
      <c r="R464" s="36"/>
    </row>
    <row r="465" spans="1:18" ht="15.75" customHeight="1">
      <c r="A465" s="193">
        <v>89</v>
      </c>
      <c r="B465" s="186">
        <v>3</v>
      </c>
      <c r="C465" s="35"/>
      <c r="D465" s="35"/>
      <c r="E465" s="35"/>
      <c r="F465" s="35"/>
      <c r="G465" s="35"/>
      <c r="H465" s="132">
        <v>137</v>
      </c>
      <c r="I465" s="132">
        <v>153</v>
      </c>
      <c r="J465" s="35"/>
      <c r="K465" s="35"/>
      <c r="L465" s="132" t="s">
        <v>165</v>
      </c>
      <c r="M465" s="132">
        <v>23</v>
      </c>
      <c r="N465" s="35"/>
      <c r="O465" s="35"/>
      <c r="P465" s="35"/>
      <c r="Q465" s="132" t="s">
        <v>229</v>
      </c>
      <c r="R465" s="36"/>
    </row>
    <row r="466" spans="1:18" ht="15.75" customHeight="1">
      <c r="A466" s="191">
        <v>89</v>
      </c>
      <c r="B466" s="188">
        <v>4</v>
      </c>
      <c r="C466" s="190"/>
      <c r="D466" s="190"/>
      <c r="E466" s="190"/>
      <c r="F466" s="190"/>
      <c r="G466" s="190"/>
      <c r="H466" s="189">
        <v>140</v>
      </c>
      <c r="I466" s="189">
        <v>155</v>
      </c>
      <c r="J466" s="190"/>
      <c r="K466" s="190"/>
      <c r="L466" s="189" t="s">
        <v>165</v>
      </c>
      <c r="M466" s="189">
        <v>37</v>
      </c>
      <c r="N466" s="190"/>
      <c r="O466" s="190"/>
      <c r="P466" s="190"/>
      <c r="Q466" s="189" t="s">
        <v>229</v>
      </c>
      <c r="R466" s="38"/>
    </row>
    <row r="467" spans="1:18" ht="15.75" customHeight="1">
      <c r="A467" s="193">
        <v>90</v>
      </c>
      <c r="B467" s="186">
        <v>1</v>
      </c>
      <c r="C467" s="132">
        <v>4.9800000000000004</v>
      </c>
      <c r="D467" s="35"/>
      <c r="E467" s="132">
        <v>78.069999999999993</v>
      </c>
      <c r="F467" s="35"/>
      <c r="G467" s="35"/>
      <c r="H467" s="132">
        <v>155.4</v>
      </c>
      <c r="I467" s="132">
        <v>166.64</v>
      </c>
      <c r="J467" s="132">
        <v>217.15</v>
      </c>
      <c r="K467" s="132">
        <v>286.81</v>
      </c>
      <c r="L467" s="132" t="s">
        <v>165</v>
      </c>
      <c r="M467" s="132">
        <v>85.59</v>
      </c>
      <c r="N467" s="35"/>
      <c r="O467" s="132">
        <v>62.61</v>
      </c>
      <c r="P467" s="132"/>
      <c r="Q467" s="132" t="s">
        <v>229</v>
      </c>
      <c r="R467" s="194">
        <v>59</v>
      </c>
    </row>
    <row r="468" spans="1:18" ht="15.75" customHeight="1">
      <c r="A468" s="193">
        <v>90</v>
      </c>
      <c r="B468" s="186">
        <v>2</v>
      </c>
      <c r="C468" s="132">
        <v>4.95</v>
      </c>
      <c r="D468" s="35"/>
      <c r="E468" s="132">
        <v>83.93</v>
      </c>
      <c r="F468" s="35"/>
      <c r="G468" s="35"/>
      <c r="H468" s="132">
        <v>149.88999999999999</v>
      </c>
      <c r="I468" s="132">
        <v>160.77000000000001</v>
      </c>
      <c r="J468" s="132">
        <v>222.52</v>
      </c>
      <c r="K468" s="132">
        <v>286.87</v>
      </c>
      <c r="L468" s="132" t="s">
        <v>165</v>
      </c>
      <c r="M468" s="132">
        <v>83.93</v>
      </c>
      <c r="N468" s="35"/>
      <c r="O468" s="132">
        <v>65.89</v>
      </c>
      <c r="P468" s="132"/>
      <c r="Q468" s="132" t="s">
        <v>229</v>
      </c>
      <c r="R468" s="194">
        <v>57</v>
      </c>
    </row>
    <row r="469" spans="1:18" ht="15.75" customHeight="1">
      <c r="A469" s="191">
        <v>90</v>
      </c>
      <c r="B469" s="188">
        <v>3</v>
      </c>
      <c r="C469" s="189">
        <v>4.8499999999999996</v>
      </c>
      <c r="D469" s="190"/>
      <c r="E469" s="189">
        <v>60.55</v>
      </c>
      <c r="F469" s="190"/>
      <c r="G469" s="190"/>
      <c r="H469" s="189">
        <v>138.22</v>
      </c>
      <c r="I469" s="189">
        <v>146.94</v>
      </c>
      <c r="J469" s="189">
        <v>263.04000000000002</v>
      </c>
      <c r="K469" s="189">
        <v>288.32</v>
      </c>
      <c r="L469" s="189" t="s">
        <v>165</v>
      </c>
      <c r="M469" s="189">
        <v>60.55</v>
      </c>
      <c r="N469" s="190"/>
      <c r="O469" s="189">
        <v>58.06</v>
      </c>
      <c r="P469" s="189"/>
      <c r="Q469" s="189" t="s">
        <v>229</v>
      </c>
      <c r="R469" s="196">
        <v>41</v>
      </c>
    </row>
    <row r="470" spans="1:18" ht="15.75" customHeight="1">
      <c r="A470" s="193">
        <v>91</v>
      </c>
      <c r="B470" s="186">
        <v>1</v>
      </c>
      <c r="C470" s="35"/>
      <c r="D470" s="35"/>
      <c r="E470" s="132">
        <v>48.2</v>
      </c>
      <c r="F470" s="35"/>
      <c r="G470" s="35"/>
      <c r="H470" s="132">
        <v>140.30000000000001</v>
      </c>
      <c r="I470" s="132">
        <v>151.80000000000001</v>
      </c>
      <c r="J470" s="35"/>
      <c r="K470" s="35"/>
      <c r="L470" s="132" t="s">
        <v>165</v>
      </c>
      <c r="M470" s="132">
        <v>86.1</v>
      </c>
      <c r="N470" s="35"/>
      <c r="O470" s="132">
        <v>68.5</v>
      </c>
      <c r="P470" s="35"/>
      <c r="Q470" s="132" t="s">
        <v>229</v>
      </c>
      <c r="R470" s="194">
        <v>59</v>
      </c>
    </row>
    <row r="471" spans="1:18" ht="15.75" customHeight="1">
      <c r="A471" s="193">
        <v>91</v>
      </c>
      <c r="B471" s="186">
        <v>2</v>
      </c>
      <c r="C471" s="35"/>
      <c r="D471" s="35"/>
      <c r="E471" s="132">
        <v>57.6</v>
      </c>
      <c r="F471" s="35"/>
      <c r="G471" s="35"/>
      <c r="H471" s="132">
        <v>138.5</v>
      </c>
      <c r="I471" s="132">
        <v>150</v>
      </c>
      <c r="J471" s="35"/>
      <c r="K471" s="35"/>
      <c r="L471" s="132" t="s">
        <v>165</v>
      </c>
      <c r="M471" s="132">
        <v>73.7</v>
      </c>
      <c r="N471" s="35"/>
      <c r="O471" s="132">
        <v>70.099999999999994</v>
      </c>
      <c r="P471" s="35"/>
      <c r="Q471" s="132" t="s">
        <v>229</v>
      </c>
      <c r="R471" s="194">
        <v>56.1</v>
      </c>
    </row>
    <row r="472" spans="1:18" ht="15.75" customHeight="1">
      <c r="A472" s="193">
        <v>91</v>
      </c>
      <c r="B472" s="186">
        <v>3</v>
      </c>
      <c r="C472" s="35"/>
      <c r="D472" s="35"/>
      <c r="E472" s="132">
        <v>51.7</v>
      </c>
      <c r="F472" s="35"/>
      <c r="G472" s="35"/>
      <c r="H472" s="132">
        <v>142.80000000000001</v>
      </c>
      <c r="I472" s="132">
        <v>152.9</v>
      </c>
      <c r="J472" s="35"/>
      <c r="K472" s="35"/>
      <c r="L472" s="132" t="s">
        <v>165</v>
      </c>
      <c r="M472" s="132">
        <v>83.9</v>
      </c>
      <c r="N472" s="35"/>
      <c r="O472" s="132">
        <v>71.900000000000006</v>
      </c>
      <c r="P472" s="35"/>
      <c r="Q472" s="132" t="s">
        <v>229</v>
      </c>
      <c r="R472" s="194">
        <v>63.8</v>
      </c>
    </row>
    <row r="473" spans="1:18" ht="15.75" customHeight="1">
      <c r="A473" s="191">
        <v>91</v>
      </c>
      <c r="B473" s="188">
        <v>4</v>
      </c>
      <c r="C473" s="190"/>
      <c r="D473" s="190"/>
      <c r="E473" s="189">
        <v>55.2</v>
      </c>
      <c r="F473" s="190"/>
      <c r="G473" s="190"/>
      <c r="H473" s="189">
        <v>141.19999999999999</v>
      </c>
      <c r="I473" s="189">
        <v>152</v>
      </c>
      <c r="J473" s="190"/>
      <c r="K473" s="190"/>
      <c r="L473" s="189" t="s">
        <v>165</v>
      </c>
      <c r="M473" s="189">
        <v>74.900000000000006</v>
      </c>
      <c r="N473" s="190"/>
      <c r="O473" s="189">
        <v>69.5</v>
      </c>
      <c r="P473" s="190"/>
      <c r="Q473" s="189" t="s">
        <v>229</v>
      </c>
      <c r="R473" s="196">
        <v>64.099999999999994</v>
      </c>
    </row>
    <row r="474" spans="1:18" ht="15.75" customHeight="1">
      <c r="A474" s="173">
        <v>92</v>
      </c>
      <c r="B474" s="184">
        <v>1</v>
      </c>
      <c r="C474" s="132"/>
      <c r="D474" s="132"/>
      <c r="E474" s="132"/>
      <c r="F474" s="132"/>
      <c r="G474" s="132">
        <v>91.7</v>
      </c>
      <c r="H474" s="132">
        <v>169.8</v>
      </c>
      <c r="I474" s="132"/>
      <c r="J474" s="132">
        <v>245.7</v>
      </c>
      <c r="K474" s="132"/>
      <c r="L474" s="132" t="s">
        <v>165</v>
      </c>
      <c r="M474" s="132">
        <v>85.62</v>
      </c>
      <c r="N474" s="132"/>
      <c r="O474" s="132">
        <v>81.8</v>
      </c>
      <c r="P474" s="132"/>
      <c r="Q474" s="132" t="s">
        <v>229</v>
      </c>
      <c r="R474" s="233"/>
    </row>
    <row r="475" spans="1:18" ht="15.75" customHeight="1">
      <c r="A475" s="185">
        <v>92</v>
      </c>
      <c r="B475" s="186">
        <v>2</v>
      </c>
      <c r="C475" s="231"/>
      <c r="D475" s="231"/>
      <c r="E475" s="8"/>
      <c r="F475" s="8"/>
      <c r="G475" s="8">
        <v>91.38</v>
      </c>
      <c r="H475" s="8">
        <v>170.1</v>
      </c>
      <c r="I475" s="8"/>
      <c r="J475" s="8">
        <v>255.6</v>
      </c>
      <c r="K475" s="8"/>
      <c r="L475" s="8" t="s">
        <v>165</v>
      </c>
      <c r="M475" s="8">
        <v>79.02</v>
      </c>
      <c r="N475" s="8"/>
      <c r="O475" s="8">
        <v>68.8</v>
      </c>
      <c r="P475" s="8"/>
      <c r="Q475" s="8" t="s">
        <v>229</v>
      </c>
      <c r="R475" s="237">
        <v>56.97</v>
      </c>
    </row>
    <row r="476" spans="1:18" ht="15.75" customHeight="1">
      <c r="A476" s="185">
        <v>92</v>
      </c>
      <c r="B476" s="186">
        <v>3</v>
      </c>
      <c r="C476" s="231"/>
      <c r="D476" s="231"/>
      <c r="E476" s="8"/>
      <c r="F476" s="8"/>
      <c r="G476" s="8"/>
      <c r="H476" s="202"/>
      <c r="I476" s="8"/>
      <c r="J476" s="8">
        <v>258.8</v>
      </c>
      <c r="K476" s="8"/>
      <c r="L476" s="8" t="s">
        <v>165</v>
      </c>
      <c r="M476" s="202"/>
      <c r="N476" s="8"/>
      <c r="O476" s="8"/>
      <c r="P476" s="8"/>
      <c r="Q476" s="8"/>
      <c r="R476" s="242"/>
    </row>
    <row r="477" spans="1:18" ht="15.75" customHeight="1">
      <c r="A477" s="185">
        <v>92</v>
      </c>
      <c r="B477" s="186">
        <v>4</v>
      </c>
      <c r="C477" s="231"/>
      <c r="D477" s="231"/>
      <c r="E477" s="8"/>
      <c r="F477" s="8"/>
      <c r="G477" s="8"/>
      <c r="H477" s="8"/>
      <c r="I477" s="8"/>
      <c r="J477" s="8">
        <v>260.89999999999998</v>
      </c>
      <c r="K477" s="8"/>
      <c r="L477" s="8" t="s">
        <v>165</v>
      </c>
      <c r="M477" s="8"/>
      <c r="N477" s="8"/>
      <c r="O477" s="8"/>
      <c r="P477" s="8"/>
      <c r="Q477" s="8"/>
      <c r="R477" s="237"/>
    </row>
    <row r="478" spans="1:18" ht="15.75" customHeight="1">
      <c r="A478" s="235">
        <v>92</v>
      </c>
      <c r="B478" s="236">
        <v>5</v>
      </c>
      <c r="C478" s="243"/>
      <c r="D478" s="243"/>
      <c r="E478" s="232"/>
      <c r="F478" s="232"/>
      <c r="G478" s="232">
        <v>86.66</v>
      </c>
      <c r="H478" s="232">
        <v>170.7</v>
      </c>
      <c r="I478" s="232"/>
      <c r="J478" s="232">
        <v>265.8</v>
      </c>
      <c r="K478" s="232"/>
      <c r="L478" s="232" t="s">
        <v>165</v>
      </c>
      <c r="M478" s="232">
        <v>74.849999999999994</v>
      </c>
      <c r="N478" s="232"/>
      <c r="O478" s="232">
        <v>64.8</v>
      </c>
      <c r="P478" s="232"/>
      <c r="Q478" s="232" t="s">
        <v>229</v>
      </c>
      <c r="R478" s="238">
        <v>56.8</v>
      </c>
    </row>
    <row r="479" spans="1:18" ht="15.75" customHeight="1">
      <c r="A479" s="185">
        <v>93</v>
      </c>
      <c r="B479" s="186">
        <v>1</v>
      </c>
      <c r="E479" s="229">
        <v>101</v>
      </c>
      <c r="H479" s="229">
        <v>171</v>
      </c>
      <c r="I479" s="229">
        <v>177</v>
      </c>
      <c r="J479" s="229">
        <v>254</v>
      </c>
      <c r="L479" s="132" t="s">
        <v>165</v>
      </c>
      <c r="R479" s="239">
        <v>64</v>
      </c>
    </row>
    <row r="480" spans="1:18" ht="15.75" customHeight="1">
      <c r="A480" s="185">
        <v>93</v>
      </c>
      <c r="B480" s="186">
        <v>2</v>
      </c>
      <c r="C480" s="22"/>
      <c r="D480" s="22"/>
      <c r="E480" s="246">
        <v>97</v>
      </c>
      <c r="F480" s="22"/>
      <c r="G480" s="22"/>
      <c r="H480" s="22">
        <v>171</v>
      </c>
      <c r="I480" s="22">
        <v>177</v>
      </c>
      <c r="J480" s="22">
        <v>261</v>
      </c>
      <c r="K480" s="22"/>
      <c r="L480" s="8" t="s">
        <v>165</v>
      </c>
      <c r="M480" s="247"/>
      <c r="N480" s="22"/>
      <c r="O480" s="247"/>
      <c r="P480" s="22"/>
      <c r="Q480" s="22"/>
      <c r="R480" s="248">
        <v>58</v>
      </c>
    </row>
    <row r="481" spans="1:18" ht="15.75" customHeight="1">
      <c r="A481" s="185">
        <v>93</v>
      </c>
      <c r="B481" s="186">
        <v>3</v>
      </c>
      <c r="C481" s="22"/>
      <c r="D481" s="22"/>
      <c r="E481" s="132">
        <v>91</v>
      </c>
      <c r="F481" s="249"/>
      <c r="G481" s="249"/>
      <c r="H481" s="250">
        <v>173</v>
      </c>
      <c r="I481" s="132">
        <v>178</v>
      </c>
      <c r="J481" s="132">
        <v>261</v>
      </c>
      <c r="K481" s="132"/>
      <c r="L481" s="8" t="s">
        <v>165</v>
      </c>
      <c r="M481" s="132"/>
      <c r="N481" s="132"/>
      <c r="O481" s="132"/>
      <c r="P481" s="132"/>
      <c r="Q481" s="132"/>
      <c r="R481" s="233">
        <v>55</v>
      </c>
    </row>
    <row r="482" spans="1:18" ht="15.75" customHeight="1">
      <c r="A482" s="185">
        <v>93</v>
      </c>
      <c r="B482" s="186">
        <v>4</v>
      </c>
      <c r="C482" s="22"/>
      <c r="D482" s="22"/>
      <c r="E482" s="132">
        <v>96</v>
      </c>
      <c r="F482" s="132"/>
      <c r="G482" s="132"/>
      <c r="H482" s="132">
        <v>172</v>
      </c>
      <c r="I482" s="132">
        <v>178</v>
      </c>
      <c r="J482" s="132">
        <v>264</v>
      </c>
      <c r="K482" s="132"/>
      <c r="L482" s="8" t="s">
        <v>165</v>
      </c>
      <c r="M482" s="132"/>
      <c r="N482" s="132"/>
      <c r="O482" s="132"/>
      <c r="P482" s="132"/>
      <c r="Q482" s="132"/>
      <c r="R482" s="233">
        <v>53</v>
      </c>
    </row>
    <row r="483" spans="1:18" ht="15.75" customHeight="1">
      <c r="A483" s="185">
        <v>93</v>
      </c>
      <c r="B483" s="186">
        <v>5</v>
      </c>
      <c r="C483" s="132"/>
      <c r="D483" s="132"/>
      <c r="E483" s="132">
        <v>87</v>
      </c>
      <c r="F483" s="132"/>
      <c r="G483" s="132"/>
      <c r="H483" s="132">
        <v>172</v>
      </c>
      <c r="I483" s="132">
        <v>177</v>
      </c>
      <c r="J483" s="132">
        <v>273</v>
      </c>
      <c r="K483" s="132"/>
      <c r="L483" s="8" t="s">
        <v>165</v>
      </c>
      <c r="M483" s="132"/>
      <c r="N483" s="132"/>
      <c r="O483" s="132"/>
      <c r="P483" s="132"/>
      <c r="Q483" s="132"/>
      <c r="R483" s="233">
        <v>53</v>
      </c>
    </row>
    <row r="484" spans="1:18" ht="15.75" customHeight="1">
      <c r="A484" s="185">
        <v>93</v>
      </c>
      <c r="B484" s="186">
        <v>6</v>
      </c>
      <c r="C484" s="132"/>
      <c r="D484" s="132"/>
      <c r="E484" s="132">
        <v>78</v>
      </c>
      <c r="F484" s="132"/>
      <c r="G484" s="132"/>
      <c r="H484" s="132">
        <v>169</v>
      </c>
      <c r="I484" s="132">
        <v>177</v>
      </c>
      <c r="J484" s="132">
        <v>277</v>
      </c>
      <c r="K484" s="132"/>
      <c r="L484" s="8" t="s">
        <v>165</v>
      </c>
      <c r="M484" s="132"/>
      <c r="N484" s="132"/>
      <c r="O484" s="132"/>
      <c r="P484" s="132"/>
      <c r="Q484" s="132"/>
      <c r="R484" s="233">
        <v>45</v>
      </c>
    </row>
    <row r="485" spans="1:18" ht="15.75" customHeight="1">
      <c r="A485" s="185">
        <v>93</v>
      </c>
      <c r="B485" s="186">
        <v>7</v>
      </c>
      <c r="C485" s="132"/>
      <c r="D485" s="132"/>
      <c r="E485" s="132"/>
      <c r="F485" s="132"/>
      <c r="G485" s="132"/>
      <c r="H485" s="132"/>
      <c r="I485" s="132"/>
      <c r="J485" s="132"/>
      <c r="K485" s="132"/>
      <c r="L485" s="22"/>
      <c r="M485" s="132"/>
      <c r="N485" s="132"/>
      <c r="O485" s="132"/>
      <c r="P485" s="132"/>
      <c r="Q485" s="132"/>
      <c r="R485" s="233"/>
    </row>
    <row r="486" spans="1:18" ht="15.75" customHeight="1">
      <c r="A486" s="235">
        <v>93</v>
      </c>
      <c r="B486" s="236">
        <v>8</v>
      </c>
      <c r="C486" s="37"/>
      <c r="D486" s="37"/>
      <c r="E486" s="200"/>
      <c r="F486" s="200"/>
      <c r="G486" s="200"/>
      <c r="H486" s="200"/>
      <c r="I486" s="200"/>
      <c r="J486" s="200"/>
      <c r="K486" s="200"/>
      <c r="L486" s="37"/>
      <c r="M486" s="200"/>
      <c r="N486" s="200"/>
      <c r="O486" s="200"/>
      <c r="P486" s="200"/>
      <c r="Q486" s="200"/>
      <c r="R486" s="234"/>
    </row>
    <row r="487" spans="1:18" ht="15.75" customHeight="1">
      <c r="A487" s="185">
        <v>94</v>
      </c>
      <c r="B487" s="186">
        <v>1</v>
      </c>
      <c r="C487" s="22">
        <v>-1.3</v>
      </c>
      <c r="D487" s="22"/>
      <c r="E487" s="132"/>
      <c r="F487" s="132"/>
      <c r="G487" s="132">
        <v>19.100000000000001</v>
      </c>
      <c r="H487" s="132">
        <v>157</v>
      </c>
      <c r="I487" s="132">
        <v>169</v>
      </c>
      <c r="J487" s="132"/>
      <c r="K487" s="132"/>
      <c r="L487" s="252" t="s">
        <v>165</v>
      </c>
      <c r="M487" s="132">
        <v>58.3</v>
      </c>
      <c r="N487" s="132"/>
      <c r="O487" s="132">
        <v>1.2999999999999999E-2</v>
      </c>
      <c r="P487" s="132"/>
      <c r="Q487" s="8" t="s">
        <v>229</v>
      </c>
      <c r="R487" s="237">
        <v>53.4</v>
      </c>
    </row>
    <row r="488" spans="1:18" ht="15.75" customHeight="1">
      <c r="A488" s="185">
        <v>94</v>
      </c>
      <c r="B488" s="186">
        <v>2</v>
      </c>
      <c r="C488" s="22">
        <v>-12.7</v>
      </c>
      <c r="D488" s="22"/>
      <c r="E488" s="132"/>
      <c r="F488" s="132"/>
      <c r="G488" s="132">
        <v>31.7</v>
      </c>
      <c r="H488" s="132">
        <v>121.7</v>
      </c>
      <c r="I488" s="132">
        <v>143.5</v>
      </c>
      <c r="J488" s="132"/>
      <c r="K488" s="132"/>
      <c r="L488" s="8" t="s">
        <v>165</v>
      </c>
      <c r="M488" s="132">
        <v>51.1</v>
      </c>
      <c r="N488" s="132"/>
      <c r="O488" s="132">
        <v>30.5</v>
      </c>
      <c r="P488" s="132"/>
      <c r="Q488" s="8" t="s">
        <v>229</v>
      </c>
      <c r="R488" s="237">
        <v>46.9</v>
      </c>
    </row>
    <row r="489" spans="1:18" ht="15.75" customHeight="1">
      <c r="A489" s="185">
        <v>94</v>
      </c>
      <c r="B489" s="186">
        <v>3</v>
      </c>
      <c r="C489" s="22">
        <v>-13.6</v>
      </c>
      <c r="D489" s="22"/>
      <c r="E489" s="132"/>
      <c r="F489" s="132"/>
      <c r="G489" s="132">
        <v>32</v>
      </c>
      <c r="H489" s="132">
        <v>124.2</v>
      </c>
      <c r="I489" s="132">
        <v>146</v>
      </c>
      <c r="J489" s="132"/>
      <c r="K489" s="132"/>
      <c r="L489" s="8" t="s">
        <v>165</v>
      </c>
      <c r="M489" s="132">
        <v>51.1</v>
      </c>
      <c r="N489" s="132"/>
      <c r="O489" s="132">
        <v>27.4</v>
      </c>
      <c r="P489" s="132"/>
      <c r="Q489" s="8" t="s">
        <v>229</v>
      </c>
      <c r="R489" s="233">
        <v>46.9</v>
      </c>
    </row>
    <row r="490" spans="1:18" ht="15.75" customHeight="1">
      <c r="A490" s="185">
        <v>94</v>
      </c>
      <c r="B490" s="186">
        <v>4</v>
      </c>
      <c r="C490" s="22">
        <v>-10.9</v>
      </c>
      <c r="D490" s="22"/>
      <c r="E490" s="132"/>
      <c r="F490" s="132"/>
      <c r="G490" s="132">
        <v>32.9</v>
      </c>
      <c r="H490" s="132">
        <v>130.69999999999999</v>
      </c>
      <c r="I490" s="132">
        <v>151</v>
      </c>
      <c r="J490" s="132"/>
      <c r="K490" s="132"/>
      <c r="L490" s="8" t="s">
        <v>165</v>
      </c>
      <c r="M490" s="132">
        <v>45.8</v>
      </c>
      <c r="N490" s="132"/>
      <c r="O490" s="132">
        <v>24.9</v>
      </c>
      <c r="P490" s="132"/>
      <c r="Q490" s="8" t="s">
        <v>229</v>
      </c>
      <c r="R490" s="233">
        <v>42.1</v>
      </c>
    </row>
    <row r="491" spans="1:18" ht="15.75" customHeight="1">
      <c r="A491" s="185">
        <v>94</v>
      </c>
      <c r="B491" s="186">
        <v>5</v>
      </c>
      <c r="C491" s="22">
        <v>-12.9</v>
      </c>
      <c r="D491" s="22"/>
      <c r="E491" s="132"/>
      <c r="F491" s="132"/>
      <c r="G491" s="132">
        <v>30.2</v>
      </c>
      <c r="H491" s="132">
        <v>121.9</v>
      </c>
      <c r="I491" s="132">
        <v>144.4</v>
      </c>
      <c r="J491" s="132"/>
      <c r="K491" s="132"/>
      <c r="L491" s="8" t="s">
        <v>165</v>
      </c>
      <c r="M491" s="132">
        <v>40.9</v>
      </c>
      <c r="N491" s="132"/>
      <c r="O491" s="132">
        <v>30.2</v>
      </c>
      <c r="P491" s="132"/>
      <c r="Q491" s="8" t="s">
        <v>229</v>
      </c>
      <c r="R491" s="233">
        <v>37.6</v>
      </c>
    </row>
    <row r="492" spans="1:18" ht="15.75" customHeight="1">
      <c r="A492" s="185">
        <v>94</v>
      </c>
      <c r="B492" s="186">
        <v>6</v>
      </c>
      <c r="C492" s="22">
        <v>-10.7</v>
      </c>
      <c r="D492" s="22"/>
      <c r="E492" s="132"/>
      <c r="F492" s="132"/>
      <c r="G492" s="132">
        <v>31.1</v>
      </c>
      <c r="H492" s="132">
        <v>123.7</v>
      </c>
      <c r="I492" s="132">
        <v>145.4</v>
      </c>
      <c r="J492" s="132"/>
      <c r="K492" s="132"/>
      <c r="L492" s="8" t="s">
        <v>165</v>
      </c>
      <c r="M492" s="132">
        <v>40</v>
      </c>
      <c r="N492" s="132"/>
      <c r="O492" s="132">
        <v>28.2</v>
      </c>
      <c r="P492" s="132"/>
      <c r="Q492" s="8" t="s">
        <v>229</v>
      </c>
      <c r="R492" s="233">
        <v>36.700000000000003</v>
      </c>
    </row>
    <row r="493" spans="1:18" ht="15.75" customHeight="1">
      <c r="A493" s="235">
        <v>94</v>
      </c>
      <c r="B493" s="236">
        <v>7</v>
      </c>
      <c r="C493" s="37">
        <v>-15.4</v>
      </c>
      <c r="D493" s="37"/>
      <c r="E493" s="200"/>
      <c r="F493" s="200"/>
      <c r="G493" s="200">
        <v>32.700000000000003</v>
      </c>
      <c r="H493" s="200">
        <v>125.8</v>
      </c>
      <c r="I493" s="200">
        <v>134.9</v>
      </c>
      <c r="J493" s="200"/>
      <c r="K493" s="200"/>
      <c r="L493" s="232" t="s">
        <v>165</v>
      </c>
      <c r="M493" s="200">
        <v>29</v>
      </c>
      <c r="N493" s="200"/>
      <c r="O493" s="200">
        <v>20.3</v>
      </c>
      <c r="P493" s="200"/>
      <c r="Q493" s="232" t="s">
        <v>229</v>
      </c>
      <c r="R493" s="234">
        <v>26.6</v>
      </c>
    </row>
    <row r="494" spans="1:18" ht="15.75" customHeight="1">
      <c r="A494" s="185">
        <v>95</v>
      </c>
      <c r="B494" s="186">
        <v>1</v>
      </c>
      <c r="R494" s="251"/>
    </row>
    <row r="495" spans="1:18" ht="15.75" customHeight="1">
      <c r="A495" s="185">
        <v>95</v>
      </c>
      <c r="B495" s="186">
        <v>2</v>
      </c>
      <c r="R495" s="251"/>
    </row>
    <row r="496" spans="1:18" ht="15.75" customHeight="1">
      <c r="A496" s="185">
        <v>95</v>
      </c>
      <c r="B496" s="186">
        <v>3</v>
      </c>
      <c r="R496" s="251"/>
    </row>
    <row r="497" spans="1:18" ht="15.75" customHeight="1">
      <c r="A497" s="185">
        <v>95</v>
      </c>
      <c r="B497" s="186">
        <v>4</v>
      </c>
      <c r="R497" s="251"/>
    </row>
    <row r="498" spans="1:18" ht="15.75" customHeight="1">
      <c r="A498" s="185">
        <v>95</v>
      </c>
      <c r="B498" s="186">
        <v>5</v>
      </c>
      <c r="R498" s="251"/>
    </row>
    <row r="499" spans="1:18" s="132" customFormat="1" ht="15.75" customHeight="1">
      <c r="A499" s="185">
        <v>96</v>
      </c>
      <c r="B499" s="186">
        <v>1</v>
      </c>
      <c r="H499" s="132">
        <v>176</v>
      </c>
      <c r="J499" s="132">
        <v>272</v>
      </c>
      <c r="K499" s="132">
        <v>293</v>
      </c>
      <c r="L499" s="252" t="s">
        <v>165</v>
      </c>
      <c r="R499" s="233"/>
    </row>
    <row r="500" spans="1:18" s="132" customFormat="1" ht="15.75" customHeight="1">
      <c r="A500" s="235">
        <v>96</v>
      </c>
      <c r="B500" s="236">
        <v>2</v>
      </c>
      <c r="C500" s="37">
        <v>-48</v>
      </c>
      <c r="D500" s="37">
        <v>4</v>
      </c>
      <c r="E500" s="200"/>
      <c r="F500" s="200"/>
      <c r="G500" s="200"/>
      <c r="H500" s="200">
        <v>52</v>
      </c>
      <c r="I500" s="200">
        <v>174</v>
      </c>
      <c r="J500" s="200">
        <v>285</v>
      </c>
      <c r="K500" s="200">
        <v>297</v>
      </c>
      <c r="L500" s="232" t="s">
        <v>165</v>
      </c>
      <c r="M500" s="200"/>
      <c r="N500" s="200"/>
      <c r="O500" s="200"/>
      <c r="P500" s="200"/>
      <c r="Q500" s="200"/>
      <c r="R500" s="234"/>
    </row>
    <row r="501" spans="1:18" ht="15.75" customHeight="1">
      <c r="A501" s="185">
        <v>97</v>
      </c>
      <c r="B501" s="186">
        <v>1</v>
      </c>
      <c r="C501" s="132">
        <v>3.1</v>
      </c>
      <c r="D501" s="132"/>
      <c r="E501" s="132">
        <v>41.2</v>
      </c>
      <c r="F501" s="132"/>
      <c r="G501" s="132"/>
      <c r="H501" s="132">
        <v>171.8</v>
      </c>
      <c r="I501" s="132"/>
      <c r="J501" s="132"/>
      <c r="K501" s="132"/>
      <c r="L501" s="252" t="s">
        <v>165</v>
      </c>
      <c r="M501" s="132"/>
      <c r="N501" s="132"/>
      <c r="O501" s="132"/>
      <c r="P501" s="132"/>
      <c r="Q501" s="132"/>
      <c r="R501" s="233"/>
    </row>
    <row r="502" spans="1:18" ht="15.75" customHeight="1">
      <c r="A502" s="235">
        <v>97</v>
      </c>
      <c r="B502" s="236">
        <v>2</v>
      </c>
      <c r="C502" s="37">
        <v>-27.3</v>
      </c>
      <c r="D502" s="37">
        <v>-8.1999999999999993</v>
      </c>
      <c r="E502" s="200">
        <v>58.6</v>
      </c>
      <c r="F502" s="200"/>
      <c r="G502" s="200"/>
      <c r="H502" s="200">
        <v>173.8</v>
      </c>
      <c r="I502" s="200"/>
      <c r="J502" s="200"/>
      <c r="K502" s="200"/>
      <c r="L502" s="232" t="s">
        <v>165</v>
      </c>
      <c r="M502" s="200"/>
      <c r="N502" s="200"/>
      <c r="O502" s="200"/>
      <c r="P502" s="200"/>
      <c r="Q502" s="200"/>
      <c r="R502" s="234"/>
    </row>
    <row r="503" spans="1:18" ht="15.75" customHeight="1">
      <c r="A503" s="185">
        <v>98</v>
      </c>
      <c r="B503" s="186">
        <v>1</v>
      </c>
      <c r="C503" s="132">
        <v>3.1</v>
      </c>
      <c r="D503" s="132"/>
      <c r="E503" s="132">
        <v>41.2</v>
      </c>
      <c r="F503" s="132"/>
      <c r="G503" s="132"/>
      <c r="H503" s="132">
        <v>171.8</v>
      </c>
      <c r="L503" s="252" t="s">
        <v>165</v>
      </c>
      <c r="R503" s="251"/>
    </row>
    <row r="504" spans="1:18" ht="15.75" customHeight="1">
      <c r="A504" s="235">
        <v>98</v>
      </c>
      <c r="B504" s="236">
        <v>2</v>
      </c>
      <c r="C504" s="200">
        <v>-20</v>
      </c>
      <c r="D504" s="200">
        <v>4.4000000000000004</v>
      </c>
      <c r="E504" s="200"/>
      <c r="F504" s="200"/>
      <c r="G504" s="200">
        <v>54.3</v>
      </c>
      <c r="H504" s="200">
        <v>166.5</v>
      </c>
      <c r="I504" s="200"/>
      <c r="J504" s="200"/>
      <c r="K504" s="200"/>
      <c r="L504" s="232" t="s">
        <v>165</v>
      </c>
      <c r="M504" s="244"/>
      <c r="N504" s="244"/>
      <c r="O504" s="244"/>
      <c r="P504" s="244"/>
      <c r="Q504" s="244"/>
      <c r="R504" s="256"/>
    </row>
    <row r="505" spans="1:18" ht="15.75" customHeight="1">
      <c r="A505" s="185">
        <v>99</v>
      </c>
      <c r="B505" s="186">
        <v>1</v>
      </c>
      <c r="C505" s="132">
        <v>5.9</v>
      </c>
      <c r="D505" s="132"/>
      <c r="E505" s="132"/>
      <c r="F505" s="132"/>
      <c r="G505" s="132">
        <v>98</v>
      </c>
      <c r="H505" s="132">
        <v>171.3</v>
      </c>
      <c r="I505" s="132"/>
      <c r="J505" s="132">
        <v>272.39999999999998</v>
      </c>
      <c r="K505" s="132"/>
      <c r="L505" s="252" t="s">
        <v>165</v>
      </c>
      <c r="M505" s="132">
        <v>99.5</v>
      </c>
      <c r="N505" s="132"/>
      <c r="O505" s="132">
        <v>97.6</v>
      </c>
      <c r="P505" s="132"/>
      <c r="Q505" s="8" t="s">
        <v>229</v>
      </c>
      <c r="R505" s="233">
        <v>68</v>
      </c>
    </row>
    <row r="506" spans="1:18" ht="15.75" customHeight="1">
      <c r="A506" s="185">
        <v>99</v>
      </c>
      <c r="B506" s="186">
        <v>2</v>
      </c>
      <c r="C506" s="132">
        <v>3.9</v>
      </c>
      <c r="D506" s="132"/>
      <c r="E506" s="132"/>
      <c r="F506" s="132"/>
      <c r="G506" s="132">
        <v>106.1</v>
      </c>
      <c r="H506" s="132">
        <v>175.6</v>
      </c>
      <c r="I506" s="132"/>
      <c r="J506" s="132">
        <v>236.7</v>
      </c>
      <c r="K506" s="132"/>
      <c r="L506" s="8" t="s">
        <v>165</v>
      </c>
      <c r="M506" s="132">
        <v>96</v>
      </c>
      <c r="N506" s="132"/>
      <c r="O506" s="132">
        <v>93.8</v>
      </c>
      <c r="P506" s="132"/>
      <c r="Q506" s="8" t="s">
        <v>229</v>
      </c>
      <c r="R506" s="233">
        <v>65</v>
      </c>
    </row>
    <row r="507" spans="1:18" ht="15.75" customHeight="1">
      <c r="A507" s="185">
        <v>99</v>
      </c>
      <c r="B507" s="186">
        <v>3</v>
      </c>
      <c r="C507" s="132">
        <v>-11</v>
      </c>
      <c r="D507" s="132"/>
      <c r="E507" s="132">
        <v>37.700000000000003</v>
      </c>
      <c r="F507" s="132"/>
      <c r="G507" s="132">
        <v>61</v>
      </c>
      <c r="H507" s="132">
        <v>138.19999999999999</v>
      </c>
      <c r="I507" s="132"/>
      <c r="J507" s="132">
        <v>200.3</v>
      </c>
      <c r="K507" s="132"/>
      <c r="L507" s="8" t="s">
        <v>165</v>
      </c>
      <c r="M507" s="132">
        <v>50.1</v>
      </c>
      <c r="N507" s="132"/>
      <c r="O507" s="132">
        <v>47.7</v>
      </c>
      <c r="P507" s="132"/>
      <c r="Q507" s="8" t="s">
        <v>229</v>
      </c>
      <c r="R507" s="233">
        <v>30</v>
      </c>
    </row>
    <row r="508" spans="1:18" ht="15.75" customHeight="1">
      <c r="A508" s="185">
        <v>99</v>
      </c>
      <c r="B508" s="186">
        <v>4</v>
      </c>
      <c r="C508" s="132">
        <v>-9.3000000000000007</v>
      </c>
      <c r="D508" s="132"/>
      <c r="E508" s="132"/>
      <c r="F508" s="132"/>
      <c r="G508" s="132">
        <v>93.5</v>
      </c>
      <c r="H508" s="132">
        <v>169</v>
      </c>
      <c r="I508" s="132"/>
      <c r="J508" s="132">
        <v>222.3</v>
      </c>
      <c r="K508" s="132"/>
      <c r="L508" s="8" t="s">
        <v>165</v>
      </c>
      <c r="M508" s="132">
        <v>75.400000000000006</v>
      </c>
      <c r="N508" s="132"/>
      <c r="O508" s="132">
        <v>80.400000000000006</v>
      </c>
      <c r="P508" s="132"/>
      <c r="Q508" s="8" t="s">
        <v>229</v>
      </c>
      <c r="R508" s="233">
        <v>51.6</v>
      </c>
    </row>
    <row r="509" spans="1:18" ht="15.75" customHeight="1">
      <c r="A509" s="185">
        <v>99</v>
      </c>
      <c r="B509" s="186">
        <v>5</v>
      </c>
      <c r="C509" s="132">
        <v>-6.4</v>
      </c>
      <c r="D509" s="132"/>
      <c r="E509" s="132"/>
      <c r="F509" s="132"/>
      <c r="G509" s="132">
        <v>99.7</v>
      </c>
      <c r="H509" s="132">
        <v>170</v>
      </c>
      <c r="I509" s="132"/>
      <c r="J509" s="132">
        <v>217.1</v>
      </c>
      <c r="K509" s="132"/>
      <c r="L509" s="8" t="s">
        <v>165</v>
      </c>
      <c r="M509" s="132">
        <v>80.2</v>
      </c>
      <c r="N509" s="132"/>
      <c r="O509" s="132">
        <v>89.2</v>
      </c>
      <c r="P509" s="132"/>
      <c r="Q509" s="8" t="s">
        <v>229</v>
      </c>
      <c r="R509" s="233">
        <v>55</v>
      </c>
    </row>
    <row r="510" spans="1:18" ht="15.75" customHeight="1">
      <c r="A510" s="235">
        <v>99</v>
      </c>
      <c r="B510" s="236">
        <v>6</v>
      </c>
      <c r="C510" s="200">
        <v>-4.2</v>
      </c>
      <c r="D510" s="200"/>
      <c r="E510" s="200"/>
      <c r="F510" s="200"/>
      <c r="G510" s="200">
        <v>87.8</v>
      </c>
      <c r="H510" s="200">
        <v>172</v>
      </c>
      <c r="I510" s="200"/>
      <c r="J510" s="200">
        <v>220.3</v>
      </c>
      <c r="K510" s="200"/>
      <c r="L510" s="232" t="s">
        <v>165</v>
      </c>
      <c r="M510" s="200">
        <v>61.5</v>
      </c>
      <c r="N510" s="200"/>
      <c r="O510" s="200">
        <v>72.5</v>
      </c>
      <c r="P510" s="200"/>
      <c r="Q510" s="232" t="s">
        <v>229</v>
      </c>
      <c r="R510" s="234">
        <v>42.1</v>
      </c>
    </row>
    <row r="511" spans="1:18" ht="15.75" customHeight="1">
      <c r="A511" s="185">
        <v>100</v>
      </c>
      <c r="B511" s="186">
        <v>1</v>
      </c>
      <c r="C511" s="132">
        <v>10</v>
      </c>
      <c r="D511" s="132"/>
      <c r="E511" s="132"/>
      <c r="F511" s="132"/>
      <c r="G511" s="132">
        <v>109.5</v>
      </c>
      <c r="H511" s="132">
        <v>170.3</v>
      </c>
      <c r="I511" s="132"/>
      <c r="J511" s="132"/>
      <c r="K511" s="132"/>
      <c r="L511" s="252" t="s">
        <v>165</v>
      </c>
      <c r="M511" s="132">
        <v>73.900000000000006</v>
      </c>
      <c r="Q511" s="8" t="s">
        <v>229</v>
      </c>
      <c r="R511" s="251"/>
    </row>
    <row r="512" spans="1:18" ht="15.75" customHeight="1">
      <c r="A512" s="185">
        <v>100</v>
      </c>
      <c r="B512" s="186">
        <v>3</v>
      </c>
      <c r="C512" s="132">
        <v>11.9</v>
      </c>
      <c r="D512" s="132"/>
      <c r="E512" s="132"/>
      <c r="F512" s="132"/>
      <c r="G512" s="132">
        <v>98.5</v>
      </c>
      <c r="H512" s="132">
        <v>159.5</v>
      </c>
      <c r="I512" s="132"/>
      <c r="J512" s="132"/>
      <c r="K512" s="132"/>
      <c r="L512" s="8" t="s">
        <v>165</v>
      </c>
      <c r="M512" s="132">
        <v>47.9</v>
      </c>
      <c r="N512" s="132"/>
      <c r="O512" s="132"/>
      <c r="P512" s="132"/>
      <c r="Q512" s="8" t="s">
        <v>229</v>
      </c>
      <c r="R512" s="251"/>
    </row>
    <row r="513" spans="1:18" ht="15.75" customHeight="1">
      <c r="A513" s="235">
        <v>100</v>
      </c>
      <c r="B513" s="236">
        <v>4</v>
      </c>
      <c r="C513" s="200">
        <v>16.3</v>
      </c>
      <c r="D513" s="200"/>
      <c r="E513" s="200"/>
      <c r="F513" s="200"/>
      <c r="G513" s="200">
        <v>102.7</v>
      </c>
      <c r="H513" s="200">
        <v>166.4</v>
      </c>
      <c r="I513" s="200"/>
      <c r="J513" s="200"/>
      <c r="K513" s="200"/>
      <c r="L513" s="232" t="s">
        <v>165</v>
      </c>
      <c r="M513" s="200">
        <v>41.3</v>
      </c>
      <c r="N513" s="200"/>
      <c r="O513" s="200"/>
      <c r="P513" s="200"/>
      <c r="Q513" s="232" t="s">
        <v>229</v>
      </c>
      <c r="R513" s="256"/>
    </row>
    <row r="514" spans="1:18" ht="15.75" customHeight="1">
      <c r="A514" s="185">
        <v>72</v>
      </c>
      <c r="B514" s="186">
        <v>6</v>
      </c>
      <c r="C514" s="132"/>
      <c r="D514" s="132"/>
      <c r="E514" s="132">
        <v>107</v>
      </c>
      <c r="F514" s="132"/>
      <c r="G514" s="132">
        <v>107</v>
      </c>
      <c r="H514" s="132">
        <v>152.1</v>
      </c>
      <c r="I514" s="132">
        <v>163.80000000000001</v>
      </c>
      <c r="J514" s="132">
        <v>257.10000000000002</v>
      </c>
      <c r="K514" s="132"/>
      <c r="L514" s="252" t="s">
        <v>165</v>
      </c>
      <c r="M514" s="132"/>
      <c r="N514" s="132"/>
      <c r="O514" s="132"/>
      <c r="P514" s="132"/>
      <c r="Q514" s="132"/>
      <c r="R514" s="233">
        <v>46</v>
      </c>
    </row>
    <row r="515" spans="1:18" ht="15.75" customHeight="1">
      <c r="A515" s="185">
        <v>72</v>
      </c>
      <c r="B515" s="186">
        <v>7</v>
      </c>
      <c r="C515" s="132"/>
      <c r="D515" s="132"/>
      <c r="E515" s="132">
        <v>107.9</v>
      </c>
      <c r="F515" s="132"/>
      <c r="G515" s="132">
        <v>107.9</v>
      </c>
      <c r="H515" s="132">
        <v>154.19999999999999</v>
      </c>
      <c r="I515" s="132">
        <v>163</v>
      </c>
      <c r="J515" s="132">
        <v>243.8</v>
      </c>
      <c r="K515" s="132"/>
      <c r="L515" s="8" t="s">
        <v>165</v>
      </c>
      <c r="M515" s="132"/>
      <c r="N515" s="132"/>
      <c r="O515" s="132"/>
      <c r="P515" s="132"/>
      <c r="Q515" s="132"/>
      <c r="R515" s="233">
        <v>50.9</v>
      </c>
    </row>
    <row r="516" spans="1:18" ht="15.75" customHeight="1">
      <c r="A516" s="187">
        <v>72</v>
      </c>
      <c r="B516" s="188">
        <v>8</v>
      </c>
      <c r="C516" s="189"/>
      <c r="D516" s="189"/>
      <c r="E516" s="189">
        <v>108.3</v>
      </c>
      <c r="F516" s="189"/>
      <c r="G516" s="189">
        <v>108.3</v>
      </c>
      <c r="H516" s="189">
        <v>155.9</v>
      </c>
      <c r="I516" s="189">
        <v>163.4</v>
      </c>
      <c r="J516" s="189">
        <v>224.4</v>
      </c>
      <c r="K516" s="189"/>
      <c r="L516" s="259" t="s">
        <v>165</v>
      </c>
      <c r="M516" s="189"/>
      <c r="N516" s="189"/>
      <c r="O516" s="189"/>
      <c r="P516" s="189"/>
      <c r="Q516" s="189"/>
      <c r="R516" s="260">
        <v>48.7</v>
      </c>
    </row>
    <row r="517" spans="1:18" ht="15.75" customHeight="1">
      <c r="A517" s="261">
        <v>101</v>
      </c>
      <c r="B517" s="262">
        <v>1</v>
      </c>
      <c r="R517" s="251"/>
    </row>
    <row r="518" spans="1:18" ht="15.75" customHeight="1">
      <c r="A518" s="261">
        <v>101</v>
      </c>
      <c r="B518" s="262">
        <v>2</v>
      </c>
      <c r="R518" s="251"/>
    </row>
    <row r="519" spans="1:18" ht="15.75" customHeight="1">
      <c r="A519" s="261">
        <v>101</v>
      </c>
      <c r="B519" s="262">
        <v>3</v>
      </c>
      <c r="R519" s="251"/>
    </row>
    <row r="520" spans="1:18" ht="15.75" customHeight="1">
      <c r="A520" s="261">
        <v>101</v>
      </c>
      <c r="B520" s="262">
        <v>4</v>
      </c>
      <c r="R520" s="251"/>
    </row>
    <row r="521" spans="1:18" ht="15.75" customHeight="1">
      <c r="A521" s="261">
        <v>101</v>
      </c>
      <c r="B521" s="262">
        <v>5</v>
      </c>
      <c r="R521" s="251"/>
    </row>
    <row r="522" spans="1:18" ht="15.75" customHeight="1">
      <c r="A522" s="261">
        <v>101</v>
      </c>
      <c r="B522" s="262">
        <v>6</v>
      </c>
      <c r="R522" s="251"/>
    </row>
    <row r="523" spans="1:18" ht="15.75" customHeight="1">
      <c r="A523" s="261">
        <v>101</v>
      </c>
      <c r="B523" s="262">
        <v>7</v>
      </c>
      <c r="R523" s="251"/>
    </row>
    <row r="524" spans="1:18" ht="15.75" customHeight="1">
      <c r="A524" s="263">
        <v>101</v>
      </c>
      <c r="B524" s="264">
        <v>8</v>
      </c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244"/>
      <c r="O524" s="244"/>
      <c r="P524" s="244"/>
      <c r="Q524" s="244"/>
      <c r="R524" s="256"/>
    </row>
    <row r="525" spans="1:18" ht="15.75" customHeight="1">
      <c r="A525" s="185">
        <v>102</v>
      </c>
      <c r="B525" s="186">
        <v>1</v>
      </c>
      <c r="E525" s="132">
        <v>74.400000000000006</v>
      </c>
      <c r="H525" s="132">
        <v>166.6</v>
      </c>
      <c r="I525" s="132">
        <v>173.8</v>
      </c>
      <c r="J525" s="132">
        <v>242.6</v>
      </c>
      <c r="L525" s="8" t="s">
        <v>165</v>
      </c>
      <c r="R525" s="251"/>
    </row>
    <row r="526" spans="1:18" ht="15.75" customHeight="1">
      <c r="A526" s="185">
        <v>102</v>
      </c>
      <c r="B526" s="186">
        <v>2</v>
      </c>
      <c r="E526" s="132">
        <v>84.7</v>
      </c>
      <c r="H526" s="132">
        <v>166.6</v>
      </c>
      <c r="I526" s="132">
        <v>172.8</v>
      </c>
      <c r="J526" s="132">
        <v>269</v>
      </c>
      <c r="L526" s="8" t="s">
        <v>165</v>
      </c>
      <c r="R526" s="251"/>
    </row>
    <row r="527" spans="1:18" ht="15.75" customHeight="1">
      <c r="A527" s="185">
        <v>102</v>
      </c>
      <c r="B527" s="186">
        <v>3</v>
      </c>
      <c r="E527" s="132">
        <v>85.05</v>
      </c>
      <c r="H527" s="132">
        <v>167.5</v>
      </c>
      <c r="I527" s="132">
        <v>173.2</v>
      </c>
      <c r="J527" s="132">
        <v>269</v>
      </c>
      <c r="L527" s="8" t="s">
        <v>165</v>
      </c>
      <c r="R527" s="251"/>
    </row>
    <row r="528" spans="1:18" ht="15.75" customHeight="1">
      <c r="A528" s="185">
        <v>102</v>
      </c>
      <c r="B528" s="186">
        <v>4</v>
      </c>
      <c r="E528" s="132">
        <v>88</v>
      </c>
      <c r="H528" s="132">
        <v>167.9</v>
      </c>
      <c r="I528" s="132">
        <v>174.8</v>
      </c>
      <c r="J528" s="132">
        <v>269</v>
      </c>
      <c r="L528" s="8" t="s">
        <v>165</v>
      </c>
      <c r="R528" s="251"/>
    </row>
    <row r="529" spans="1:18" ht="15.75" customHeight="1">
      <c r="A529" s="185">
        <v>102</v>
      </c>
      <c r="B529" s="186">
        <v>5</v>
      </c>
      <c r="E529" s="132">
        <v>89.4</v>
      </c>
      <c r="H529" s="132">
        <v>167.5</v>
      </c>
      <c r="I529" s="132">
        <v>173.5</v>
      </c>
      <c r="J529" s="132">
        <v>269</v>
      </c>
      <c r="L529" s="8" t="s">
        <v>165</v>
      </c>
      <c r="R529" s="251"/>
    </row>
    <row r="530" spans="1:18" ht="15.75" customHeight="1">
      <c r="A530" s="268">
        <v>103</v>
      </c>
      <c r="B530" s="265">
        <v>1</v>
      </c>
      <c r="C530" s="257"/>
      <c r="D530" s="257"/>
      <c r="E530" s="254">
        <v>116.9</v>
      </c>
      <c r="F530" s="254"/>
      <c r="G530" s="254"/>
      <c r="H530" s="254">
        <v>164.2</v>
      </c>
      <c r="I530" s="254"/>
      <c r="J530" s="254">
        <v>195.6</v>
      </c>
      <c r="K530" s="254">
        <v>272.3</v>
      </c>
      <c r="L530" s="252" t="s">
        <v>165</v>
      </c>
      <c r="M530" s="254">
        <v>81.099999999999994</v>
      </c>
      <c r="N530" s="254"/>
      <c r="O530" s="254">
        <v>76.599999999999994</v>
      </c>
      <c r="P530" s="254"/>
      <c r="Q530" s="252" t="s">
        <v>229</v>
      </c>
      <c r="R530" s="255">
        <v>55.5</v>
      </c>
    </row>
    <row r="531" spans="1:18" ht="15.75" customHeight="1">
      <c r="A531" s="270">
        <v>103</v>
      </c>
      <c r="B531" s="186">
        <v>2</v>
      </c>
      <c r="E531" s="132">
        <v>115.5</v>
      </c>
      <c r="F531" s="132"/>
      <c r="G531" s="132"/>
      <c r="H531" s="132">
        <v>163</v>
      </c>
      <c r="I531" s="132"/>
      <c r="J531" s="132">
        <v>195.7</v>
      </c>
      <c r="K531" s="132">
        <v>270.60000000000002</v>
      </c>
      <c r="L531" s="8" t="s">
        <v>165</v>
      </c>
      <c r="M531" s="132">
        <v>78.400000000000006</v>
      </c>
      <c r="N531" s="132"/>
      <c r="O531" s="132">
        <v>74</v>
      </c>
      <c r="P531" s="132"/>
      <c r="Q531" s="8" t="s">
        <v>229</v>
      </c>
      <c r="R531" s="233">
        <v>54.8</v>
      </c>
    </row>
    <row r="532" spans="1:18" ht="15.75" customHeight="1">
      <c r="A532" s="270">
        <v>103</v>
      </c>
      <c r="B532" s="186">
        <v>3</v>
      </c>
      <c r="E532" s="132">
        <v>118.2</v>
      </c>
      <c r="F532" s="132"/>
      <c r="G532" s="132"/>
      <c r="H532" s="132">
        <v>163.30000000000001</v>
      </c>
      <c r="I532" s="132"/>
      <c r="J532" s="132">
        <v>200.9</v>
      </c>
      <c r="K532" s="132">
        <v>262.10000000000002</v>
      </c>
      <c r="L532" s="8" t="s">
        <v>165</v>
      </c>
      <c r="M532" s="132">
        <v>81.5</v>
      </c>
      <c r="N532" s="132"/>
      <c r="O532" s="132">
        <v>77.099999999999994</v>
      </c>
      <c r="P532" s="132"/>
      <c r="Q532" s="8" t="s">
        <v>229</v>
      </c>
      <c r="R532" s="233">
        <v>57</v>
      </c>
    </row>
    <row r="533" spans="1:18" ht="15.75" customHeight="1">
      <c r="A533" s="270">
        <v>103</v>
      </c>
      <c r="B533" s="186">
        <v>4</v>
      </c>
      <c r="E533" s="132">
        <v>118.2</v>
      </c>
      <c r="F533" s="132"/>
      <c r="G533" s="132"/>
      <c r="H533" s="132">
        <v>163.6</v>
      </c>
      <c r="I533" s="132"/>
      <c r="J533" s="132">
        <v>206.8</v>
      </c>
      <c r="K533" s="132">
        <v>274.3</v>
      </c>
      <c r="L533" s="8" t="s">
        <v>165</v>
      </c>
      <c r="M533" s="132">
        <v>81.5</v>
      </c>
      <c r="N533" s="132"/>
      <c r="O533" s="132">
        <v>76.900000000000006</v>
      </c>
      <c r="P533" s="132"/>
      <c r="Q533" s="8" t="s">
        <v>229</v>
      </c>
      <c r="R533" s="233">
        <v>57</v>
      </c>
    </row>
    <row r="534" spans="1:18" ht="15.75" customHeight="1">
      <c r="A534" s="268">
        <v>104</v>
      </c>
      <c r="B534" s="265">
        <v>1</v>
      </c>
      <c r="C534" s="254"/>
      <c r="D534" s="254"/>
      <c r="E534" s="254">
        <v>54.5</v>
      </c>
      <c r="F534" s="254"/>
      <c r="G534" s="254"/>
      <c r="H534" s="254">
        <v>168.7</v>
      </c>
      <c r="I534" s="254"/>
      <c r="J534" s="254"/>
      <c r="K534" s="254">
        <v>268</v>
      </c>
      <c r="L534" s="252" t="s">
        <v>165</v>
      </c>
      <c r="M534" s="254">
        <v>80</v>
      </c>
      <c r="N534" s="254"/>
      <c r="O534" s="254"/>
      <c r="P534" s="254"/>
      <c r="Q534" s="252" t="s">
        <v>229</v>
      </c>
      <c r="R534" s="255">
        <v>54.8</v>
      </c>
    </row>
    <row r="535" spans="1:18" ht="15.75" customHeight="1">
      <c r="A535" s="270">
        <v>104</v>
      </c>
      <c r="B535" s="186">
        <v>2</v>
      </c>
      <c r="C535" s="132"/>
      <c r="D535" s="132"/>
      <c r="E535" s="132">
        <v>76</v>
      </c>
      <c r="F535" s="132"/>
      <c r="G535" s="132"/>
      <c r="H535" s="132">
        <v>168.7</v>
      </c>
      <c r="I535" s="132"/>
      <c r="J535" s="132"/>
      <c r="K535" s="132">
        <v>293</v>
      </c>
      <c r="L535" s="8" t="s">
        <v>165</v>
      </c>
      <c r="M535" s="132">
        <v>74.3</v>
      </c>
      <c r="N535" s="132"/>
      <c r="O535" s="132"/>
      <c r="P535" s="132"/>
      <c r="Q535" s="8" t="s">
        <v>229</v>
      </c>
      <c r="R535" s="233">
        <v>53.6</v>
      </c>
    </row>
    <row r="536" spans="1:18" ht="15.75" customHeight="1">
      <c r="A536" s="268">
        <v>105</v>
      </c>
      <c r="B536" s="265">
        <v>1</v>
      </c>
      <c r="C536" s="254"/>
      <c r="D536" s="254"/>
      <c r="E536" s="254">
        <v>92.6</v>
      </c>
      <c r="F536" s="254"/>
      <c r="G536" s="254"/>
      <c r="H536" s="254">
        <v>167.1</v>
      </c>
      <c r="I536" s="254">
        <v>175.7</v>
      </c>
      <c r="J536" s="254"/>
      <c r="K536" s="254"/>
      <c r="L536" s="252" t="s">
        <v>165</v>
      </c>
      <c r="M536" s="254">
        <v>97.5</v>
      </c>
      <c r="N536" s="254"/>
      <c r="O536" s="254">
        <v>87.3</v>
      </c>
      <c r="P536" s="254"/>
      <c r="Q536" s="252" t="s">
        <v>229</v>
      </c>
      <c r="R536" s="255">
        <v>66.8</v>
      </c>
    </row>
    <row r="537" spans="1:18" ht="15.75" customHeight="1">
      <c r="A537" s="270">
        <v>105</v>
      </c>
      <c r="B537" s="186">
        <v>2</v>
      </c>
      <c r="C537" s="132"/>
      <c r="D537" s="132"/>
      <c r="E537" s="132">
        <v>80.7</v>
      </c>
      <c r="F537" s="132"/>
      <c r="G537" s="132"/>
      <c r="H537" s="132">
        <v>167.8</v>
      </c>
      <c r="I537" s="132">
        <v>175.9</v>
      </c>
      <c r="J537" s="132"/>
      <c r="K537" s="132"/>
      <c r="L537" s="8" t="s">
        <v>165</v>
      </c>
      <c r="M537" s="132">
        <v>84.5</v>
      </c>
      <c r="N537" s="132"/>
      <c r="O537" s="132">
        <v>69.2</v>
      </c>
      <c r="P537" s="132"/>
      <c r="Q537" s="8" t="s">
        <v>229</v>
      </c>
      <c r="R537" s="233">
        <v>58.5</v>
      </c>
    </row>
    <row r="538" spans="1:18" ht="15.75" customHeight="1">
      <c r="A538" s="270">
        <v>105</v>
      </c>
      <c r="B538" s="186">
        <v>3</v>
      </c>
      <c r="C538" s="132"/>
      <c r="D538" s="132"/>
      <c r="E538" s="132">
        <v>71.099999999999994</v>
      </c>
      <c r="F538" s="132"/>
      <c r="G538" s="132"/>
      <c r="H538" s="132">
        <v>163.6</v>
      </c>
      <c r="I538" s="132">
        <v>173.1</v>
      </c>
      <c r="J538" s="132"/>
      <c r="K538" s="132"/>
      <c r="L538" s="8" t="s">
        <v>165</v>
      </c>
      <c r="M538" s="132">
        <v>87.5</v>
      </c>
      <c r="N538" s="132"/>
      <c r="O538" s="132">
        <v>51.1</v>
      </c>
      <c r="P538" s="132"/>
      <c r="Q538" s="8" t="s">
        <v>229</v>
      </c>
      <c r="R538" s="233">
        <v>63.1</v>
      </c>
    </row>
    <row r="539" spans="1:18" ht="15.75" customHeight="1">
      <c r="A539" s="270">
        <v>105</v>
      </c>
      <c r="B539" s="186">
        <v>4</v>
      </c>
      <c r="C539" s="132"/>
      <c r="D539" s="132"/>
      <c r="E539" s="132">
        <v>69.5</v>
      </c>
      <c r="F539" s="132"/>
      <c r="G539" s="132"/>
      <c r="H539" s="132">
        <v>167.5</v>
      </c>
      <c r="I539" s="132">
        <v>175.4</v>
      </c>
      <c r="J539" s="132"/>
      <c r="K539" s="132"/>
      <c r="L539" s="8" t="s">
        <v>165</v>
      </c>
      <c r="M539" s="132">
        <v>72.099999999999994</v>
      </c>
      <c r="N539" s="132"/>
      <c r="O539" s="132">
        <v>53.2</v>
      </c>
      <c r="P539" s="132"/>
      <c r="Q539" s="8" t="s">
        <v>229</v>
      </c>
      <c r="R539" s="233">
        <v>61.7</v>
      </c>
    </row>
    <row r="540" spans="1:18" s="132" customFormat="1" ht="15.75" customHeight="1">
      <c r="A540" s="268">
        <v>106</v>
      </c>
      <c r="B540" s="265">
        <v>1</v>
      </c>
      <c r="C540" s="254"/>
      <c r="D540" s="254"/>
      <c r="E540" s="254">
        <v>90.3</v>
      </c>
      <c r="F540" s="254"/>
      <c r="G540" s="254"/>
      <c r="H540" s="254">
        <v>169.6</v>
      </c>
      <c r="I540" s="254">
        <v>175.6</v>
      </c>
      <c r="J540" s="254">
        <v>287</v>
      </c>
      <c r="K540" s="254"/>
      <c r="L540" s="252" t="s">
        <v>165</v>
      </c>
      <c r="M540" s="254">
        <v>96.09</v>
      </c>
      <c r="N540" s="254"/>
      <c r="O540" s="254">
        <v>82.86</v>
      </c>
      <c r="P540" s="254"/>
      <c r="Q540" s="252" t="s">
        <v>229</v>
      </c>
      <c r="R540" s="255"/>
    </row>
    <row r="541" spans="1:18" s="132" customFormat="1" ht="15.75" customHeight="1">
      <c r="A541" s="270">
        <v>106</v>
      </c>
      <c r="B541" s="186">
        <v>2</v>
      </c>
      <c r="E541" s="132">
        <v>92.5</v>
      </c>
      <c r="H541" s="132">
        <v>170</v>
      </c>
      <c r="I541" s="132">
        <v>175.7</v>
      </c>
      <c r="J541" s="132">
        <v>290</v>
      </c>
      <c r="L541" s="8" t="s">
        <v>165</v>
      </c>
      <c r="M541" s="132">
        <v>82.42</v>
      </c>
      <c r="O541" s="132">
        <v>76.52</v>
      </c>
      <c r="Q541" s="8" t="s">
        <v>229</v>
      </c>
      <c r="R541" s="233"/>
    </row>
    <row r="542" spans="1:18" s="132" customFormat="1" ht="15.75" customHeight="1">
      <c r="A542" s="270">
        <v>106</v>
      </c>
      <c r="B542" s="186">
        <v>3</v>
      </c>
      <c r="E542" s="132">
        <v>72.900000000000006</v>
      </c>
      <c r="H542" s="132">
        <v>168.2</v>
      </c>
      <c r="I542" s="132">
        <v>176</v>
      </c>
      <c r="J542" s="132">
        <v>282</v>
      </c>
      <c r="L542" s="8" t="s">
        <v>165</v>
      </c>
      <c r="M542" s="132">
        <v>88.28</v>
      </c>
      <c r="O542" s="132">
        <v>61.19</v>
      </c>
      <c r="Q542" s="8" t="s">
        <v>229</v>
      </c>
      <c r="R542" s="233"/>
    </row>
    <row r="543" spans="1:18" s="132" customFormat="1" ht="15.75" customHeight="1">
      <c r="A543" s="270">
        <v>106</v>
      </c>
      <c r="B543" s="186">
        <v>4</v>
      </c>
      <c r="E543" s="132">
        <v>80.5</v>
      </c>
      <c r="H543" s="132">
        <v>168</v>
      </c>
      <c r="I543" s="132">
        <v>168</v>
      </c>
      <c r="J543" s="132">
        <v>282</v>
      </c>
      <c r="L543" s="8" t="s">
        <v>165</v>
      </c>
      <c r="M543" s="132">
        <v>92.73</v>
      </c>
      <c r="O543" s="132">
        <v>75.73</v>
      </c>
      <c r="Q543" s="8" t="s">
        <v>229</v>
      </c>
      <c r="R543" s="233"/>
    </row>
    <row r="544" spans="1:18" s="132" customFormat="1" ht="15.75" customHeight="1">
      <c r="A544" s="268">
        <v>107</v>
      </c>
      <c r="B544" s="265">
        <v>1</v>
      </c>
      <c r="C544" s="254"/>
      <c r="D544" s="254"/>
      <c r="E544" s="254">
        <v>112.2</v>
      </c>
      <c r="F544" s="254"/>
      <c r="G544" s="254"/>
      <c r="H544" s="254">
        <v>163.80000000000001</v>
      </c>
      <c r="I544" s="254">
        <v>170.5</v>
      </c>
      <c r="J544" s="254">
        <v>191.9</v>
      </c>
      <c r="K544" s="254">
        <v>266.3</v>
      </c>
      <c r="L544" s="252" t="s">
        <v>165</v>
      </c>
      <c r="M544" s="254">
        <v>57.7</v>
      </c>
      <c r="N544" s="254">
        <v>18.399999999999999</v>
      </c>
      <c r="O544" s="254">
        <v>73.599999999999994</v>
      </c>
      <c r="P544" s="254"/>
      <c r="Q544" s="252" t="s">
        <v>229</v>
      </c>
      <c r="R544" s="255">
        <v>57.9</v>
      </c>
    </row>
    <row r="545" spans="1:18" s="132" customFormat="1" ht="15.75" customHeight="1">
      <c r="A545" s="270">
        <v>107</v>
      </c>
      <c r="B545" s="186">
        <v>2</v>
      </c>
      <c r="E545" s="132">
        <v>111.8</v>
      </c>
      <c r="H545" s="132">
        <v>163</v>
      </c>
      <c r="I545" s="132">
        <v>170.7</v>
      </c>
      <c r="J545" s="132">
        <v>202.4</v>
      </c>
      <c r="K545" s="132">
        <v>270.7</v>
      </c>
      <c r="L545" s="8" t="s">
        <v>165</v>
      </c>
      <c r="M545" s="132">
        <v>53.2</v>
      </c>
      <c r="N545" s="132">
        <v>22.3</v>
      </c>
      <c r="O545" s="132">
        <v>73.8</v>
      </c>
      <c r="Q545" s="8" t="s">
        <v>229</v>
      </c>
      <c r="R545" s="233">
        <v>57.5</v>
      </c>
    </row>
    <row r="546" spans="1:18" s="132" customFormat="1" ht="15.75" customHeight="1">
      <c r="A546" s="270">
        <v>107</v>
      </c>
      <c r="B546" s="186">
        <v>3</v>
      </c>
      <c r="E546" s="132">
        <v>114.8</v>
      </c>
      <c r="H546" s="132">
        <v>164.2</v>
      </c>
      <c r="I546" s="132">
        <v>169</v>
      </c>
      <c r="L546" s="8" t="s">
        <v>165</v>
      </c>
      <c r="M546" s="132">
        <v>63.1</v>
      </c>
      <c r="N546" s="132">
        <v>12</v>
      </c>
      <c r="O546" s="132">
        <v>75.2</v>
      </c>
      <c r="Q546" s="8" t="s">
        <v>229</v>
      </c>
      <c r="R546" s="233">
        <v>57.4</v>
      </c>
    </row>
    <row r="547" spans="1:18" s="132" customFormat="1" ht="15.75" customHeight="1">
      <c r="A547" s="270">
        <v>107</v>
      </c>
      <c r="B547" s="186">
        <v>4</v>
      </c>
      <c r="E547" s="132">
        <v>116.5</v>
      </c>
      <c r="H547" s="132">
        <v>163.80000000000001</v>
      </c>
      <c r="I547" s="132">
        <v>170.4</v>
      </c>
      <c r="L547" s="8" t="s">
        <v>165</v>
      </c>
      <c r="M547" s="132">
        <v>55.3</v>
      </c>
      <c r="N547" s="132">
        <v>19.3</v>
      </c>
      <c r="O547" s="132">
        <v>74.599999999999994</v>
      </c>
      <c r="Q547" s="8" t="s">
        <v>229</v>
      </c>
      <c r="R547" s="233">
        <v>57.1</v>
      </c>
    </row>
    <row r="548" spans="1:18" s="132" customFormat="1" ht="15.75" customHeight="1">
      <c r="A548" s="270">
        <v>107</v>
      </c>
      <c r="B548" s="186">
        <v>5</v>
      </c>
      <c r="E548" s="132">
        <v>114.1</v>
      </c>
      <c r="H548" s="132">
        <v>163.6</v>
      </c>
      <c r="I548" s="132">
        <v>170.5</v>
      </c>
      <c r="J548" s="132">
        <v>195.3</v>
      </c>
      <c r="K548" s="132">
        <v>268.39999999999998</v>
      </c>
      <c r="L548" s="8" t="s">
        <v>165</v>
      </c>
      <c r="M548" s="132">
        <v>61.3</v>
      </c>
      <c r="N548" s="132">
        <v>14.5</v>
      </c>
      <c r="O548" s="132">
        <v>73.7</v>
      </c>
      <c r="Q548" s="8" t="s">
        <v>229</v>
      </c>
      <c r="R548" s="233">
        <v>58.3</v>
      </c>
    </row>
    <row r="549" spans="1:18" s="132" customFormat="1" ht="15.75" customHeight="1">
      <c r="A549" s="270">
        <v>107</v>
      </c>
      <c r="B549" s="186">
        <v>6</v>
      </c>
      <c r="E549" s="132">
        <v>115.2</v>
      </c>
      <c r="H549" s="132">
        <v>162.9</v>
      </c>
      <c r="I549" s="132">
        <v>170.8</v>
      </c>
      <c r="J549" s="132">
        <v>196.7</v>
      </c>
      <c r="K549" s="132">
        <v>269.89999999999998</v>
      </c>
      <c r="L549" s="8" t="s">
        <v>165</v>
      </c>
      <c r="M549" s="132">
        <v>50.5</v>
      </c>
      <c r="N549" s="132">
        <v>23.7</v>
      </c>
      <c r="O549" s="132">
        <v>74</v>
      </c>
      <c r="Q549" s="8" t="s">
        <v>229</v>
      </c>
      <c r="R549" s="233">
        <v>57</v>
      </c>
    </row>
    <row r="550" spans="1:18" s="132" customFormat="1" ht="15.75" customHeight="1">
      <c r="A550" s="270">
        <v>107</v>
      </c>
      <c r="B550" s="186">
        <v>7</v>
      </c>
      <c r="E550" s="132">
        <v>114.6</v>
      </c>
      <c r="H550" s="132">
        <v>163.6</v>
      </c>
      <c r="I550" s="132">
        <v>170.5</v>
      </c>
      <c r="J550" s="132">
        <v>192.4</v>
      </c>
      <c r="K550" s="132">
        <v>267.89999999999998</v>
      </c>
      <c r="L550" s="8" t="s">
        <v>165</v>
      </c>
      <c r="M550" s="132">
        <v>56.5</v>
      </c>
      <c r="N550" s="132">
        <v>18.2</v>
      </c>
      <c r="O550" s="132">
        <v>73.5</v>
      </c>
      <c r="Q550" s="8" t="s">
        <v>229</v>
      </c>
      <c r="R550" s="233">
        <v>58</v>
      </c>
    </row>
    <row r="551" spans="1:18" s="132" customFormat="1" ht="15.75" customHeight="1">
      <c r="A551" s="270">
        <v>107</v>
      </c>
      <c r="B551" s="186">
        <v>8</v>
      </c>
      <c r="E551" s="132">
        <v>115.1</v>
      </c>
      <c r="H551" s="132">
        <v>162.80000000000001</v>
      </c>
      <c r="I551" s="132">
        <v>170.6</v>
      </c>
      <c r="J551" s="132">
        <v>203</v>
      </c>
      <c r="K551" s="132">
        <v>270.5</v>
      </c>
      <c r="L551" s="8" t="s">
        <v>165</v>
      </c>
      <c r="M551" s="132">
        <v>50.7</v>
      </c>
      <c r="N551" s="132">
        <v>21.7</v>
      </c>
      <c r="O551" s="132">
        <v>72.099999999999994</v>
      </c>
      <c r="Q551" s="8" t="s">
        <v>229</v>
      </c>
      <c r="R551" s="233">
        <v>56.2</v>
      </c>
    </row>
    <row r="552" spans="1:18" s="132" customFormat="1" ht="15.75" customHeight="1">
      <c r="A552" s="270">
        <v>107</v>
      </c>
      <c r="B552" s="186">
        <v>9</v>
      </c>
      <c r="E552" s="132">
        <v>114.1</v>
      </c>
      <c r="H552" s="132">
        <v>164.4</v>
      </c>
      <c r="I552" s="132">
        <v>169</v>
      </c>
      <c r="J552" s="132">
        <v>192.8</v>
      </c>
      <c r="K552" s="132">
        <v>266.7</v>
      </c>
      <c r="L552" s="8" t="s">
        <v>165</v>
      </c>
      <c r="M552" s="132">
        <v>60.3</v>
      </c>
      <c r="N552" s="132">
        <v>10.9</v>
      </c>
      <c r="O552" s="132">
        <v>69.8</v>
      </c>
      <c r="Q552" s="8" t="s">
        <v>229</v>
      </c>
      <c r="R552" s="233">
        <v>57</v>
      </c>
    </row>
    <row r="553" spans="1:18" s="132" customFormat="1" ht="15.75" customHeight="1">
      <c r="A553" s="270">
        <v>107</v>
      </c>
      <c r="B553" s="186">
        <v>10</v>
      </c>
      <c r="E553" s="132">
        <v>114</v>
      </c>
      <c r="H553" s="132">
        <v>163</v>
      </c>
      <c r="I553" s="132">
        <v>170.8</v>
      </c>
      <c r="J553" s="132">
        <v>194.4</v>
      </c>
      <c r="K553" s="132">
        <v>261.5</v>
      </c>
      <c r="L553" s="8" t="s">
        <v>165</v>
      </c>
      <c r="M553" s="132">
        <v>49.7</v>
      </c>
      <c r="N553" s="132">
        <v>21.8</v>
      </c>
      <c r="O553" s="132">
        <v>71</v>
      </c>
      <c r="Q553" s="8" t="s">
        <v>229</v>
      </c>
      <c r="R553" s="233">
        <v>57.3</v>
      </c>
    </row>
    <row r="554" spans="1:18" s="132" customFormat="1" ht="15.75" customHeight="1">
      <c r="A554" s="270">
        <v>107</v>
      </c>
      <c r="B554" s="186">
        <v>11</v>
      </c>
      <c r="E554" s="132">
        <v>113.7</v>
      </c>
      <c r="H554" s="132">
        <v>162.69999999999999</v>
      </c>
      <c r="I554" s="132">
        <v>170.6</v>
      </c>
      <c r="J554" s="132">
        <v>183.5</v>
      </c>
      <c r="K554" s="132">
        <v>265</v>
      </c>
      <c r="L554" s="8" t="s">
        <v>165</v>
      </c>
      <c r="M554" s="132">
        <v>51.7</v>
      </c>
      <c r="N554" s="132">
        <v>24.8</v>
      </c>
      <c r="O554" s="132">
        <v>77.5</v>
      </c>
      <c r="Q554" s="8" t="s">
        <v>229</v>
      </c>
      <c r="R554" s="233">
        <v>59.4</v>
      </c>
    </row>
    <row r="555" spans="1:18" ht="15.75" customHeight="1">
      <c r="A555" s="268">
        <v>108</v>
      </c>
      <c r="B555" s="265">
        <v>1</v>
      </c>
      <c r="C555" s="254"/>
      <c r="D555" s="254"/>
      <c r="E555" s="254"/>
      <c r="F555" s="254"/>
      <c r="G555" s="254"/>
      <c r="H555" s="254"/>
      <c r="I555" s="254"/>
      <c r="J555" s="254">
        <v>272.39999999999998</v>
      </c>
      <c r="K555" s="254">
        <v>289.10000000000002</v>
      </c>
      <c r="L555" s="252" t="s">
        <v>165</v>
      </c>
      <c r="M555" s="254">
        <v>88.2</v>
      </c>
      <c r="N555" s="254"/>
      <c r="O555" s="254"/>
      <c r="P555" s="254"/>
      <c r="Q555" s="252" t="s">
        <v>229</v>
      </c>
      <c r="R555" s="255">
        <v>60.3</v>
      </c>
    </row>
    <row r="556" spans="1:18" ht="15.75" customHeight="1">
      <c r="A556" s="270">
        <v>108</v>
      </c>
      <c r="B556" s="186">
        <v>2</v>
      </c>
      <c r="C556" s="132"/>
      <c r="D556" s="132"/>
      <c r="E556" s="132"/>
      <c r="F556" s="132"/>
      <c r="G556" s="132"/>
      <c r="H556" s="132"/>
      <c r="I556" s="132"/>
      <c r="J556" s="132">
        <v>276.2</v>
      </c>
      <c r="K556" s="132">
        <v>295.89999999999998</v>
      </c>
      <c r="L556" s="8" t="s">
        <v>165</v>
      </c>
      <c r="M556" s="132">
        <v>81.3</v>
      </c>
      <c r="N556" s="132"/>
      <c r="O556" s="132"/>
      <c r="P556" s="132"/>
      <c r="Q556" s="8" t="s">
        <v>229</v>
      </c>
      <c r="R556" s="233">
        <v>61.9</v>
      </c>
    </row>
    <row r="557" spans="1:18" ht="15.75" customHeight="1">
      <c r="A557" s="270">
        <v>108</v>
      </c>
      <c r="B557" s="186">
        <v>3</v>
      </c>
      <c r="C557" s="132"/>
      <c r="D557" s="132"/>
      <c r="E557" s="132"/>
      <c r="F557" s="132"/>
      <c r="G557" s="132"/>
      <c r="H557" s="132"/>
      <c r="I557" s="132"/>
      <c r="J557" s="132">
        <v>277.39999999999998</v>
      </c>
      <c r="K557" s="132">
        <v>296.10000000000002</v>
      </c>
      <c r="L557" s="8" t="s">
        <v>165</v>
      </c>
      <c r="M557" s="132">
        <v>72.3</v>
      </c>
      <c r="N557" s="132"/>
      <c r="O557" s="132"/>
      <c r="P557" s="132"/>
      <c r="Q557" s="8" t="s">
        <v>229</v>
      </c>
      <c r="R557" s="233">
        <v>62</v>
      </c>
    </row>
    <row r="558" spans="1:18" ht="15.75" customHeight="1">
      <c r="A558" s="270">
        <v>108</v>
      </c>
      <c r="B558" s="186">
        <v>4</v>
      </c>
      <c r="C558" s="132"/>
      <c r="D558" s="132"/>
      <c r="E558" s="132"/>
      <c r="F558" s="132"/>
      <c r="G558" s="132"/>
      <c r="H558" s="132"/>
      <c r="I558" s="132"/>
      <c r="J558" s="132">
        <v>279.89999999999998</v>
      </c>
      <c r="K558" s="132">
        <v>297.5</v>
      </c>
      <c r="L558" s="8" t="s">
        <v>165</v>
      </c>
      <c r="M558" s="132">
        <v>61.9</v>
      </c>
      <c r="N558" s="132"/>
      <c r="O558" s="132"/>
      <c r="P558" s="132"/>
      <c r="Q558" s="8" t="s">
        <v>229</v>
      </c>
      <c r="R558" s="233">
        <v>60.5</v>
      </c>
    </row>
    <row r="559" spans="1:18" ht="15.75" customHeight="1">
      <c r="A559" s="270">
        <v>108</v>
      </c>
      <c r="B559" s="186">
        <v>5</v>
      </c>
      <c r="C559" s="132"/>
      <c r="D559" s="132"/>
      <c r="E559" s="132"/>
      <c r="F559" s="132"/>
      <c r="G559" s="132"/>
      <c r="H559" s="132"/>
      <c r="I559" s="132"/>
      <c r="J559" s="132">
        <v>281.10000000000002</v>
      </c>
      <c r="K559" s="132">
        <v>303.2</v>
      </c>
      <c r="L559" s="8" t="s">
        <v>165</v>
      </c>
      <c r="M559" s="132">
        <v>52.4</v>
      </c>
      <c r="N559" s="132"/>
      <c r="O559" s="132"/>
      <c r="P559" s="132"/>
      <c r="Q559" s="8" t="s">
        <v>229</v>
      </c>
      <c r="R559" s="233">
        <v>59.8</v>
      </c>
    </row>
    <row r="560" spans="1:18" ht="15.75" customHeight="1">
      <c r="A560" s="270">
        <v>108</v>
      </c>
      <c r="B560" s="186">
        <v>6</v>
      </c>
      <c r="C560" s="132"/>
      <c r="D560" s="132"/>
      <c r="E560" s="132"/>
      <c r="F560" s="132"/>
      <c r="G560" s="132"/>
      <c r="H560" s="132"/>
      <c r="I560" s="132"/>
      <c r="J560" s="132">
        <v>283.39999999999998</v>
      </c>
      <c r="K560" s="132">
        <v>319.39999999999998</v>
      </c>
      <c r="L560" s="8" t="s">
        <v>165</v>
      </c>
      <c r="M560" s="132">
        <v>43.1</v>
      </c>
      <c r="N560" s="132"/>
      <c r="O560" s="132"/>
      <c r="P560" s="132"/>
      <c r="Q560" s="8" t="s">
        <v>229</v>
      </c>
      <c r="R560" s="233">
        <v>59</v>
      </c>
    </row>
    <row r="561" spans="1:18" s="132" customFormat="1" ht="15.75" customHeight="1">
      <c r="A561" s="268">
        <v>109</v>
      </c>
      <c r="B561" s="265">
        <v>1</v>
      </c>
      <c r="C561" s="254">
        <v>28</v>
      </c>
      <c r="D561" s="254"/>
      <c r="E561" s="254"/>
      <c r="F561" s="254"/>
      <c r="G561" s="254"/>
      <c r="H561" s="254">
        <v>173.1</v>
      </c>
      <c r="I561" s="254"/>
      <c r="J561" s="254">
        <v>278.7</v>
      </c>
      <c r="K561" s="254">
        <v>298.2</v>
      </c>
      <c r="L561" s="252" t="s">
        <v>165</v>
      </c>
      <c r="M561" s="254">
        <v>97.4</v>
      </c>
      <c r="N561" s="254"/>
      <c r="O561" s="254">
        <v>91</v>
      </c>
      <c r="P561" s="254"/>
      <c r="Q561" s="252" t="s">
        <v>229</v>
      </c>
      <c r="R561" s="255">
        <v>66.7</v>
      </c>
    </row>
    <row r="562" spans="1:18" s="132" customFormat="1" ht="15.75" customHeight="1">
      <c r="A562" s="270">
        <v>109</v>
      </c>
      <c r="B562" s="186">
        <v>2</v>
      </c>
      <c r="C562" s="132">
        <v>-14</v>
      </c>
      <c r="D562" s="132">
        <v>28</v>
      </c>
      <c r="H562" s="132">
        <v>171.4</v>
      </c>
      <c r="J562" s="132">
        <v>279.5</v>
      </c>
      <c r="K562" s="132">
        <v>297</v>
      </c>
      <c r="L562" s="8" t="s">
        <v>165</v>
      </c>
      <c r="M562" s="132">
        <v>72.2</v>
      </c>
      <c r="O562" s="132">
        <v>65.599999999999994</v>
      </c>
      <c r="Q562" s="8" t="s">
        <v>229</v>
      </c>
      <c r="R562" s="233">
        <v>64.3</v>
      </c>
    </row>
    <row r="563" spans="1:18" s="132" customFormat="1" ht="15.75" customHeight="1">
      <c r="A563" s="270">
        <v>109</v>
      </c>
      <c r="B563" s="186">
        <v>3</v>
      </c>
      <c r="C563" s="132">
        <v>-14</v>
      </c>
      <c r="D563" s="132">
        <v>28</v>
      </c>
      <c r="H563" s="132">
        <v>171.5</v>
      </c>
      <c r="J563" s="132">
        <v>279.2</v>
      </c>
      <c r="K563" s="132">
        <v>296.3</v>
      </c>
      <c r="L563" s="8" t="s">
        <v>165</v>
      </c>
      <c r="M563" s="132">
        <v>70.7</v>
      </c>
      <c r="O563" s="132">
        <v>68.7</v>
      </c>
      <c r="Q563" s="8" t="s">
        <v>229</v>
      </c>
      <c r="R563" s="233">
        <v>63.4</v>
      </c>
    </row>
    <row r="564" spans="1:18" s="132" customFormat="1" ht="15.75" customHeight="1">
      <c r="A564" s="268">
        <v>110</v>
      </c>
      <c r="B564" s="265">
        <v>1</v>
      </c>
      <c r="C564" s="254">
        <v>-20.399999999999999</v>
      </c>
      <c r="D564" s="254">
        <v>5.5</v>
      </c>
      <c r="E564" s="254">
        <v>93.9</v>
      </c>
      <c r="F564" s="254"/>
      <c r="G564" s="254"/>
      <c r="H564" s="254">
        <v>174</v>
      </c>
      <c r="I564" s="254"/>
      <c r="J564" s="254"/>
      <c r="K564" s="254">
        <v>295</v>
      </c>
      <c r="L564" s="252" t="s">
        <v>165</v>
      </c>
      <c r="M564" s="254">
        <v>59.48</v>
      </c>
      <c r="N564" s="254"/>
      <c r="O564" s="254"/>
      <c r="P564" s="254"/>
      <c r="Q564" s="252" t="s">
        <v>229</v>
      </c>
      <c r="R564" s="255">
        <v>40.49</v>
      </c>
    </row>
    <row r="565" spans="1:18" s="132" customFormat="1" ht="15.75" customHeight="1">
      <c r="A565" s="270">
        <v>110</v>
      </c>
      <c r="B565" s="186">
        <v>2</v>
      </c>
      <c r="C565" s="132">
        <v>-22</v>
      </c>
      <c r="D565" s="132">
        <v>4.4000000000000004</v>
      </c>
      <c r="E565" s="132">
        <v>89</v>
      </c>
      <c r="H565" s="132">
        <v>170</v>
      </c>
      <c r="K565" s="132">
        <v>300</v>
      </c>
      <c r="L565" s="8" t="s">
        <v>165</v>
      </c>
      <c r="M565" s="132">
        <v>21.75</v>
      </c>
      <c r="Q565" s="8" t="s">
        <v>229</v>
      </c>
      <c r="R565" s="233">
        <v>14.55</v>
      </c>
    </row>
    <row r="566" spans="1:18" s="132" customFormat="1" ht="15.75" customHeight="1">
      <c r="A566" s="270">
        <v>110</v>
      </c>
      <c r="B566" s="186">
        <v>3</v>
      </c>
      <c r="C566" s="132">
        <v>-24.1</v>
      </c>
      <c r="D566" s="132">
        <v>2.2000000000000002</v>
      </c>
      <c r="E566" s="132">
        <v>88.9</v>
      </c>
      <c r="H566" s="132">
        <v>158.1</v>
      </c>
      <c r="K566" s="132">
        <v>311</v>
      </c>
      <c r="L566" s="8" t="s">
        <v>165</v>
      </c>
      <c r="M566" s="132">
        <v>8.91</v>
      </c>
      <c r="Q566" s="8" t="s">
        <v>229</v>
      </c>
      <c r="R566" s="233">
        <v>3.23</v>
      </c>
    </row>
    <row r="567" spans="1:18" s="132" customFormat="1" ht="15.75" customHeight="1">
      <c r="A567" s="270">
        <v>110</v>
      </c>
      <c r="B567" s="186">
        <v>4</v>
      </c>
      <c r="C567" s="132">
        <v>-29.3</v>
      </c>
      <c r="D567" s="132">
        <v>0.5</v>
      </c>
      <c r="E567" s="132">
        <v>86.9</v>
      </c>
      <c r="H567" s="132">
        <v>151</v>
      </c>
      <c r="K567" s="132">
        <v>313</v>
      </c>
      <c r="L567" s="8" t="s">
        <v>165</v>
      </c>
      <c r="M567" s="132">
        <v>7.94</v>
      </c>
      <c r="Q567" s="8" t="s">
        <v>229</v>
      </c>
      <c r="R567" s="233">
        <v>2.5</v>
      </c>
    </row>
    <row r="568" spans="1:18" s="132" customFormat="1" ht="15.75" customHeight="1">
      <c r="A568" s="268">
        <v>111</v>
      </c>
      <c r="B568" s="265">
        <v>1</v>
      </c>
      <c r="C568" s="254"/>
      <c r="D568" s="254"/>
      <c r="E568" s="254">
        <v>115.4</v>
      </c>
      <c r="F568" s="254"/>
      <c r="G568" s="254"/>
      <c r="H568" s="254">
        <v>172.4</v>
      </c>
      <c r="I568" s="254"/>
      <c r="J568" s="254"/>
      <c r="K568" s="254"/>
      <c r="L568" s="252" t="s">
        <v>165</v>
      </c>
      <c r="M568" s="254">
        <v>80.900000000000006</v>
      </c>
      <c r="N568" s="254"/>
      <c r="O568" s="254">
        <v>81.8</v>
      </c>
      <c r="P568" s="254"/>
      <c r="Q568" s="252" t="s">
        <v>229</v>
      </c>
      <c r="R568" s="255">
        <v>55.9</v>
      </c>
    </row>
    <row r="569" spans="1:18" s="132" customFormat="1" ht="15.75" customHeight="1">
      <c r="A569" s="270">
        <v>111</v>
      </c>
      <c r="B569" s="186">
        <v>2</v>
      </c>
      <c r="E569" s="132">
        <v>120.4</v>
      </c>
      <c r="H569" s="132">
        <v>172.1</v>
      </c>
      <c r="L569" s="8" t="s">
        <v>165</v>
      </c>
      <c r="M569" s="132">
        <v>86.4</v>
      </c>
      <c r="O569" s="132">
        <v>81.7</v>
      </c>
      <c r="Q569" s="8" t="s">
        <v>229</v>
      </c>
      <c r="R569" s="233">
        <v>60.7</v>
      </c>
    </row>
    <row r="570" spans="1:18" s="132" customFormat="1" ht="15.75" customHeight="1">
      <c r="A570" s="270">
        <v>111</v>
      </c>
      <c r="B570" s="186">
        <v>3</v>
      </c>
      <c r="E570" s="132">
        <v>121.3</v>
      </c>
      <c r="H570" s="132">
        <v>173</v>
      </c>
      <c r="L570" s="8" t="s">
        <v>165</v>
      </c>
      <c r="M570" s="132">
        <v>87.8</v>
      </c>
      <c r="O570" s="132">
        <v>82.2</v>
      </c>
      <c r="Q570" s="8" t="s">
        <v>229</v>
      </c>
      <c r="R570" s="233">
        <v>61.7</v>
      </c>
    </row>
    <row r="571" spans="1:18" s="132" customFormat="1" ht="15.75" customHeight="1">
      <c r="A571" s="270">
        <v>111</v>
      </c>
      <c r="B571" s="186">
        <v>4</v>
      </c>
      <c r="E571" s="132">
        <v>122</v>
      </c>
      <c r="H571" s="132">
        <v>173.1</v>
      </c>
      <c r="L571" s="8" t="s">
        <v>165</v>
      </c>
      <c r="M571" s="132">
        <v>88.2</v>
      </c>
      <c r="O571" s="132">
        <v>83.9</v>
      </c>
      <c r="Q571" s="8" t="s">
        <v>229</v>
      </c>
      <c r="R571" s="233">
        <v>62</v>
      </c>
    </row>
    <row r="572" spans="1:18" s="132" customFormat="1" ht="15.75" customHeight="1">
      <c r="A572" s="270">
        <v>111</v>
      </c>
      <c r="B572" s="186">
        <v>5</v>
      </c>
      <c r="E572" s="132">
        <v>121.7</v>
      </c>
      <c r="H572" s="132">
        <v>172.6</v>
      </c>
      <c r="L572" s="8" t="s">
        <v>165</v>
      </c>
      <c r="M572" s="132">
        <v>84.9</v>
      </c>
      <c r="O572" s="132">
        <v>77.8</v>
      </c>
      <c r="Q572" s="8" t="s">
        <v>229</v>
      </c>
      <c r="R572" s="233">
        <v>59.7</v>
      </c>
    </row>
    <row r="573" spans="1:18" ht="15.75" customHeight="1">
      <c r="A573" s="270">
        <v>111</v>
      </c>
      <c r="B573" s="186">
        <v>6</v>
      </c>
      <c r="C573" s="132"/>
      <c r="D573" s="132"/>
      <c r="E573" s="132">
        <v>119</v>
      </c>
      <c r="F573" s="132"/>
      <c r="G573" s="132"/>
      <c r="H573" s="132">
        <v>172.6</v>
      </c>
      <c r="I573" s="132"/>
      <c r="J573" s="132"/>
      <c r="K573" s="132"/>
      <c r="L573" s="8" t="s">
        <v>165</v>
      </c>
      <c r="M573" s="132">
        <v>83.5</v>
      </c>
      <c r="N573" s="132"/>
      <c r="O573" s="132">
        <v>76.2</v>
      </c>
      <c r="P573" s="132"/>
      <c r="Q573" s="8" t="s">
        <v>229</v>
      </c>
      <c r="R573" s="233">
        <v>58.6</v>
      </c>
    </row>
    <row r="574" spans="1:18" ht="15.75" customHeight="1">
      <c r="A574" s="268">
        <v>112</v>
      </c>
      <c r="B574" s="265">
        <v>1</v>
      </c>
      <c r="C574" s="254"/>
      <c r="D574" s="254"/>
      <c r="E574" s="254"/>
      <c r="F574" s="254"/>
      <c r="G574" s="254"/>
      <c r="H574" s="254">
        <v>162</v>
      </c>
      <c r="I574" s="254">
        <v>170</v>
      </c>
      <c r="J574" s="254"/>
      <c r="K574" s="254"/>
      <c r="L574" s="252" t="s">
        <v>165</v>
      </c>
      <c r="M574" s="254"/>
      <c r="N574" s="254"/>
      <c r="O574" s="254"/>
      <c r="P574" s="254"/>
      <c r="Q574" s="254"/>
      <c r="R574" s="255"/>
    </row>
    <row r="575" spans="1:18" ht="15.75" customHeight="1">
      <c r="A575" s="270">
        <v>112</v>
      </c>
      <c r="B575" s="186">
        <v>2</v>
      </c>
      <c r="C575" s="132"/>
      <c r="D575" s="132"/>
      <c r="E575" s="132"/>
      <c r="F575" s="132"/>
      <c r="G575" s="132"/>
      <c r="H575" s="132">
        <v>165</v>
      </c>
      <c r="I575" s="132">
        <v>171</v>
      </c>
      <c r="J575" s="132"/>
      <c r="K575" s="132"/>
      <c r="L575" s="8" t="s">
        <v>165</v>
      </c>
      <c r="M575" s="132"/>
      <c r="N575" s="132"/>
      <c r="O575" s="132"/>
      <c r="P575" s="132"/>
      <c r="Q575" s="132"/>
      <c r="R575" s="233"/>
    </row>
    <row r="576" spans="1:18" ht="15.75" customHeight="1">
      <c r="A576" s="270">
        <v>112</v>
      </c>
      <c r="B576" s="186">
        <v>3</v>
      </c>
      <c r="C576" s="132"/>
      <c r="D576" s="132"/>
      <c r="E576" s="132"/>
      <c r="F576" s="132"/>
      <c r="G576" s="132"/>
      <c r="H576" s="132">
        <v>169</v>
      </c>
      <c r="I576" s="132">
        <v>172</v>
      </c>
      <c r="J576" s="132"/>
      <c r="K576" s="132"/>
      <c r="L576" s="8" t="s">
        <v>165</v>
      </c>
      <c r="M576" s="132"/>
      <c r="N576" s="132"/>
      <c r="O576" s="132"/>
      <c r="P576" s="132"/>
      <c r="Q576" s="132"/>
      <c r="R576" s="233"/>
    </row>
    <row r="577" spans="1:18" ht="15.75" customHeight="1">
      <c r="A577" s="270">
        <v>112</v>
      </c>
      <c r="B577" s="186">
        <v>4</v>
      </c>
      <c r="C577" s="132"/>
      <c r="D577" s="132"/>
      <c r="E577" s="132"/>
      <c r="F577" s="132"/>
      <c r="G577" s="132"/>
      <c r="H577" s="132">
        <v>172</v>
      </c>
      <c r="I577" s="132"/>
      <c r="J577" s="132"/>
      <c r="K577" s="132"/>
      <c r="L577" s="8" t="s">
        <v>165</v>
      </c>
      <c r="M577" s="132"/>
      <c r="N577" s="132"/>
      <c r="O577" s="132"/>
      <c r="P577" s="132"/>
      <c r="Q577" s="132"/>
      <c r="R577" s="233"/>
    </row>
    <row r="578" spans="1:18" ht="15.75" customHeight="1">
      <c r="A578" s="270">
        <v>112</v>
      </c>
      <c r="B578" s="186">
        <v>5</v>
      </c>
      <c r="C578" s="132"/>
      <c r="D578" s="132"/>
      <c r="E578" s="132"/>
      <c r="F578" s="132"/>
      <c r="G578" s="132"/>
      <c r="H578" s="132">
        <v>172</v>
      </c>
      <c r="I578" s="132"/>
      <c r="J578" s="132"/>
      <c r="K578" s="132"/>
      <c r="L578" s="8" t="s">
        <v>165</v>
      </c>
      <c r="M578" s="132"/>
      <c r="N578" s="132"/>
      <c r="O578" s="132"/>
      <c r="P578" s="132"/>
      <c r="Q578" s="132"/>
      <c r="R578" s="233"/>
    </row>
    <row r="579" spans="1:18" ht="15.75" customHeight="1">
      <c r="A579" s="268">
        <v>113</v>
      </c>
      <c r="B579" s="265">
        <v>1</v>
      </c>
      <c r="C579" s="257"/>
      <c r="D579" s="257"/>
      <c r="E579" s="257"/>
      <c r="F579" s="257"/>
      <c r="G579" s="257"/>
      <c r="H579" s="257"/>
      <c r="I579" s="257"/>
      <c r="J579" s="257"/>
      <c r="K579" s="257"/>
      <c r="L579" s="257"/>
      <c r="M579" s="257"/>
      <c r="N579" s="257"/>
      <c r="O579" s="257"/>
      <c r="P579" s="257"/>
      <c r="Q579" s="257"/>
      <c r="R579" s="269"/>
    </row>
    <row r="580" spans="1:18" ht="15.75" customHeight="1">
      <c r="A580" s="270">
        <v>113</v>
      </c>
      <c r="B580" s="186">
        <v>2</v>
      </c>
      <c r="R580" s="251"/>
    </row>
    <row r="581" spans="1:18" ht="15.75" customHeight="1">
      <c r="A581" s="270">
        <v>113</v>
      </c>
      <c r="B581" s="186">
        <v>3</v>
      </c>
      <c r="R581" s="251"/>
    </row>
    <row r="582" spans="1:18" ht="15.75" customHeight="1">
      <c r="A582" s="268">
        <v>114</v>
      </c>
      <c r="B582" s="265">
        <v>1</v>
      </c>
      <c r="C582" s="254">
        <v>0.39</v>
      </c>
      <c r="D582" s="254"/>
      <c r="E582" s="254">
        <v>69</v>
      </c>
      <c r="F582" s="254"/>
      <c r="G582" s="254"/>
      <c r="H582" s="254">
        <v>162.4</v>
      </c>
      <c r="I582" s="254"/>
      <c r="J582" s="254"/>
      <c r="K582" s="254"/>
      <c r="L582" s="252" t="s">
        <v>165</v>
      </c>
      <c r="M582" s="254">
        <v>46.9</v>
      </c>
      <c r="N582" s="254"/>
      <c r="O582" s="254"/>
      <c r="P582" s="254"/>
      <c r="Q582" s="252" t="s">
        <v>229</v>
      </c>
      <c r="R582" s="255">
        <v>32.1</v>
      </c>
    </row>
    <row r="583" spans="1:18" ht="15.75" customHeight="1">
      <c r="A583" s="270">
        <v>114</v>
      </c>
      <c r="B583" s="186">
        <v>2</v>
      </c>
      <c r="C583" s="132">
        <v>-7.5</v>
      </c>
      <c r="D583" s="132"/>
      <c r="E583" s="132">
        <v>62.1</v>
      </c>
      <c r="F583" s="132"/>
      <c r="G583" s="132"/>
      <c r="H583" s="132">
        <v>161.30000000000001</v>
      </c>
      <c r="I583" s="132"/>
      <c r="J583" s="132"/>
      <c r="K583" s="132"/>
      <c r="L583" s="8" t="s">
        <v>165</v>
      </c>
      <c r="M583" s="132">
        <v>62.2</v>
      </c>
      <c r="N583" s="132"/>
      <c r="O583" s="132"/>
      <c r="P583" s="132"/>
      <c r="Q583" s="8" t="s">
        <v>229</v>
      </c>
      <c r="R583" s="233">
        <v>42.6</v>
      </c>
    </row>
    <row r="584" spans="1:18" ht="15.75" customHeight="1">
      <c r="A584" s="270">
        <v>114</v>
      </c>
      <c r="B584" s="186">
        <v>3</v>
      </c>
      <c r="C584" s="132">
        <v>-9.3000000000000007</v>
      </c>
      <c r="D584" s="132"/>
      <c r="E584" s="132">
        <v>58</v>
      </c>
      <c r="F584" s="132"/>
      <c r="G584" s="132"/>
      <c r="H584" s="132">
        <v>160.30000000000001</v>
      </c>
      <c r="I584" s="132"/>
      <c r="J584" s="132"/>
      <c r="K584" s="132"/>
      <c r="L584" s="8" t="s">
        <v>165</v>
      </c>
      <c r="M584" s="132">
        <v>60.9</v>
      </c>
      <c r="N584" s="132"/>
      <c r="O584" s="132"/>
      <c r="P584" s="132"/>
      <c r="Q584" s="8" t="s">
        <v>229</v>
      </c>
      <c r="R584" s="233">
        <v>41.7</v>
      </c>
    </row>
    <row r="585" spans="1:18" ht="15.75" customHeight="1">
      <c r="A585" s="270">
        <v>114</v>
      </c>
      <c r="B585" s="186">
        <v>4</v>
      </c>
      <c r="C585" s="132">
        <v>-5.2</v>
      </c>
      <c r="D585" s="132"/>
      <c r="E585" s="132">
        <v>59.2</v>
      </c>
      <c r="F585" s="132"/>
      <c r="G585" s="132"/>
      <c r="H585" s="132">
        <v>160.6</v>
      </c>
      <c r="I585" s="132"/>
      <c r="J585" s="132"/>
      <c r="K585" s="132"/>
      <c r="L585" s="8" t="s">
        <v>165</v>
      </c>
      <c r="M585" s="132">
        <v>54.2</v>
      </c>
      <c r="N585" s="132"/>
      <c r="O585" s="132"/>
      <c r="P585" s="132"/>
      <c r="Q585" s="8" t="s">
        <v>229</v>
      </c>
      <c r="R585" s="233">
        <v>37.1</v>
      </c>
    </row>
    <row r="586" spans="1:18" ht="15.75" customHeight="1">
      <c r="A586" s="270">
        <v>114</v>
      </c>
      <c r="B586" s="186">
        <v>5</v>
      </c>
      <c r="C586" s="132">
        <v>-10</v>
      </c>
      <c r="D586" s="132"/>
      <c r="E586" s="132">
        <v>55.2</v>
      </c>
      <c r="F586" s="132"/>
      <c r="G586" s="132"/>
      <c r="H586" s="132">
        <v>159.19999999999999</v>
      </c>
      <c r="I586" s="132"/>
      <c r="J586" s="132"/>
      <c r="K586" s="132"/>
      <c r="L586" s="8" t="s">
        <v>165</v>
      </c>
      <c r="M586" s="132">
        <v>49.6</v>
      </c>
      <c r="N586" s="132"/>
      <c r="O586" s="132"/>
      <c r="P586" s="132"/>
      <c r="Q586" s="8" t="s">
        <v>229</v>
      </c>
      <c r="R586" s="233">
        <v>34</v>
      </c>
    </row>
    <row r="587" spans="1:18" ht="15.75" customHeight="1">
      <c r="A587" s="268">
        <v>115</v>
      </c>
      <c r="B587" s="265">
        <v>1</v>
      </c>
      <c r="C587" s="254"/>
      <c r="D587" s="254"/>
      <c r="E587" s="254"/>
      <c r="F587" s="254"/>
      <c r="G587" s="254"/>
      <c r="H587" s="254">
        <v>175.1</v>
      </c>
      <c r="I587" s="254"/>
      <c r="J587" s="254">
        <v>295.2</v>
      </c>
      <c r="K587" s="254"/>
      <c r="L587" s="252" t="s">
        <v>165</v>
      </c>
      <c r="M587" s="254">
        <v>73.900000000000006</v>
      </c>
      <c r="N587" s="254"/>
      <c r="O587" s="254"/>
      <c r="P587" s="254"/>
      <c r="Q587" s="252" t="s">
        <v>229</v>
      </c>
      <c r="R587" s="255">
        <v>50.6</v>
      </c>
    </row>
    <row r="588" spans="1:18" ht="15.75" customHeight="1">
      <c r="A588" s="270">
        <v>115</v>
      </c>
      <c r="B588" s="186">
        <v>2</v>
      </c>
      <c r="C588" s="132"/>
      <c r="D588" s="132"/>
      <c r="E588" s="132"/>
      <c r="F588" s="132"/>
      <c r="G588" s="132"/>
      <c r="H588" s="132">
        <v>172.3</v>
      </c>
      <c r="I588" s="132"/>
      <c r="J588" s="132"/>
      <c r="K588" s="132"/>
      <c r="L588" s="8" t="s">
        <v>165</v>
      </c>
      <c r="M588" s="132">
        <v>76.099999999999994</v>
      </c>
      <c r="N588" s="132"/>
      <c r="O588" s="132"/>
      <c r="P588" s="132"/>
      <c r="Q588" s="8" t="s">
        <v>229</v>
      </c>
      <c r="R588" s="233">
        <v>52.1</v>
      </c>
    </row>
    <row r="589" spans="1:18" ht="15.75" customHeight="1">
      <c r="A589" s="270">
        <v>115</v>
      </c>
      <c r="B589" s="186">
        <v>3</v>
      </c>
      <c r="C589" s="132"/>
      <c r="D589" s="132"/>
      <c r="E589" s="132"/>
      <c r="F589" s="132"/>
      <c r="G589" s="132"/>
      <c r="H589" s="132">
        <v>172.9</v>
      </c>
      <c r="I589" s="132"/>
      <c r="J589" s="132"/>
      <c r="K589" s="132"/>
      <c r="L589" s="8" t="s">
        <v>165</v>
      </c>
      <c r="M589" s="132">
        <v>67.7</v>
      </c>
      <c r="N589" s="132"/>
      <c r="O589" s="132"/>
      <c r="P589" s="132"/>
      <c r="Q589" s="8" t="s">
        <v>229</v>
      </c>
      <c r="R589" s="233">
        <v>46.4</v>
      </c>
    </row>
    <row r="590" spans="1:18" ht="15.75" customHeight="1">
      <c r="A590" s="270">
        <v>115</v>
      </c>
      <c r="B590" s="186">
        <v>4</v>
      </c>
      <c r="C590" s="132"/>
      <c r="D590" s="132"/>
      <c r="E590" s="132"/>
      <c r="F590" s="132"/>
      <c r="G590" s="132"/>
      <c r="H590" s="132">
        <v>169.4</v>
      </c>
      <c r="I590" s="132"/>
      <c r="J590" s="132"/>
      <c r="K590" s="132"/>
      <c r="L590" s="8" t="s">
        <v>165</v>
      </c>
      <c r="M590" s="132">
        <v>73.8</v>
      </c>
      <c r="N590" s="132"/>
      <c r="O590" s="132"/>
      <c r="P590" s="132"/>
      <c r="Q590" s="8" t="s">
        <v>229</v>
      </c>
      <c r="R590" s="233">
        <v>50.6</v>
      </c>
    </row>
    <row r="591" spans="1:18" ht="15.75" customHeight="1">
      <c r="A591" s="270">
        <v>115</v>
      </c>
      <c r="B591" s="186">
        <v>5</v>
      </c>
      <c r="C591" s="132"/>
      <c r="D591" s="132"/>
      <c r="E591" s="132"/>
      <c r="F591" s="132"/>
      <c r="G591" s="132"/>
      <c r="H591" s="132">
        <v>171.4</v>
      </c>
      <c r="I591" s="132"/>
      <c r="J591" s="132">
        <v>290</v>
      </c>
      <c r="K591" s="132"/>
      <c r="L591" s="8" t="s">
        <v>165</v>
      </c>
      <c r="M591" s="132">
        <v>74.2</v>
      </c>
      <c r="N591" s="132"/>
      <c r="O591" s="132"/>
      <c r="P591" s="132"/>
      <c r="Q591" s="8" t="s">
        <v>229</v>
      </c>
      <c r="R591" s="233">
        <v>50.8</v>
      </c>
    </row>
    <row r="592" spans="1:18" ht="15.75" customHeight="1">
      <c r="A592" s="270">
        <v>115</v>
      </c>
      <c r="B592" s="186">
        <v>6</v>
      </c>
      <c r="C592" s="132"/>
      <c r="D592" s="132"/>
      <c r="E592" s="132"/>
      <c r="F592" s="132"/>
      <c r="G592" s="132"/>
      <c r="H592" s="132">
        <v>170.8</v>
      </c>
      <c r="I592" s="132"/>
      <c r="J592" s="132">
        <v>284.8</v>
      </c>
      <c r="K592" s="132"/>
      <c r="L592" s="8" t="s">
        <v>165</v>
      </c>
      <c r="M592" s="132">
        <v>65.5</v>
      </c>
      <c r="N592" s="132"/>
      <c r="O592" s="132"/>
      <c r="P592" s="132"/>
      <c r="Q592" s="8" t="s">
        <v>229</v>
      </c>
      <c r="R592" s="233">
        <v>44.9</v>
      </c>
    </row>
    <row r="593" spans="1:18" ht="15.75" customHeight="1">
      <c r="A593" s="270">
        <v>115</v>
      </c>
      <c r="B593" s="186">
        <v>7</v>
      </c>
      <c r="C593" s="132"/>
      <c r="D593" s="132"/>
      <c r="E593" s="132"/>
      <c r="F593" s="132"/>
      <c r="G593" s="132"/>
      <c r="H593" s="132">
        <v>170.9</v>
      </c>
      <c r="I593" s="132"/>
      <c r="J593" s="132">
        <v>280</v>
      </c>
      <c r="K593" s="132"/>
      <c r="L593" s="8" t="s">
        <v>165</v>
      </c>
      <c r="M593" s="132">
        <v>63.5</v>
      </c>
      <c r="N593" s="132"/>
      <c r="O593" s="132"/>
      <c r="P593" s="132"/>
      <c r="Q593" s="8" t="s">
        <v>229</v>
      </c>
      <c r="R593" s="233">
        <v>43.5</v>
      </c>
    </row>
    <row r="594" spans="1:18" ht="15.75" customHeight="1">
      <c r="A594" s="268">
        <v>116</v>
      </c>
      <c r="B594" s="265">
        <v>1</v>
      </c>
      <c r="C594" s="254"/>
      <c r="D594" s="254"/>
      <c r="E594" s="254"/>
      <c r="F594" s="254"/>
      <c r="G594" s="254"/>
      <c r="H594" s="254">
        <v>169.7</v>
      </c>
      <c r="I594" s="254"/>
      <c r="J594" s="254"/>
      <c r="K594" s="254"/>
      <c r="L594" s="252" t="s">
        <v>165</v>
      </c>
      <c r="M594" s="254">
        <v>80.099999999999994</v>
      </c>
      <c r="N594" s="254"/>
      <c r="O594" s="254">
        <v>12.3</v>
      </c>
      <c r="P594" s="254"/>
      <c r="Q594" s="252" t="s">
        <v>229</v>
      </c>
      <c r="R594" s="255"/>
    </row>
    <row r="595" spans="1:18" ht="15.75" customHeight="1">
      <c r="A595" s="270">
        <v>116</v>
      </c>
      <c r="B595" s="186">
        <v>2</v>
      </c>
      <c r="C595" s="132"/>
      <c r="D595" s="132"/>
      <c r="E595" s="132"/>
      <c r="F595" s="132"/>
      <c r="G595" s="132"/>
      <c r="H595" s="132">
        <v>169.2</v>
      </c>
      <c r="I595" s="132"/>
      <c r="J595" s="132"/>
      <c r="K595" s="132"/>
      <c r="L595" s="8" t="s">
        <v>165</v>
      </c>
      <c r="M595" s="132">
        <v>76.8</v>
      </c>
      <c r="N595" s="132"/>
      <c r="O595" s="132">
        <v>23.9</v>
      </c>
      <c r="P595" s="132"/>
      <c r="Q595" s="8" t="s">
        <v>229</v>
      </c>
      <c r="R595" s="233"/>
    </row>
    <row r="596" spans="1:18" ht="15.75" customHeight="1">
      <c r="A596" s="270">
        <v>116</v>
      </c>
      <c r="B596" s="186">
        <v>3</v>
      </c>
      <c r="C596" s="132"/>
      <c r="D596" s="132"/>
      <c r="E596" s="132"/>
      <c r="F596" s="132"/>
      <c r="G596" s="132"/>
      <c r="H596" s="132">
        <v>169.2</v>
      </c>
      <c r="I596" s="132"/>
      <c r="J596" s="132"/>
      <c r="K596" s="132"/>
      <c r="L596" s="8" t="s">
        <v>165</v>
      </c>
      <c r="M596" s="132">
        <v>80.5</v>
      </c>
      <c r="N596" s="132"/>
      <c r="O596" s="132">
        <v>60</v>
      </c>
      <c r="P596" s="132"/>
      <c r="Q596" s="8" t="s">
        <v>229</v>
      </c>
      <c r="R596" s="233"/>
    </row>
    <row r="597" spans="1:18" ht="15.75" customHeight="1">
      <c r="A597" s="268">
        <v>117</v>
      </c>
      <c r="B597" s="265">
        <v>1</v>
      </c>
      <c r="C597" s="254"/>
      <c r="D597" s="254"/>
      <c r="E597" s="254">
        <v>101</v>
      </c>
      <c r="F597" s="254">
        <v>102</v>
      </c>
      <c r="G597" s="254"/>
      <c r="H597" s="254">
        <v>164</v>
      </c>
      <c r="I597" s="254">
        <v>166</v>
      </c>
      <c r="J597" s="254">
        <v>223</v>
      </c>
      <c r="K597" s="254">
        <v>301.10000000000002</v>
      </c>
      <c r="L597" s="252" t="s">
        <v>165</v>
      </c>
      <c r="M597" s="254">
        <v>70.8</v>
      </c>
      <c r="N597" s="254"/>
      <c r="O597" s="254">
        <v>59.8</v>
      </c>
      <c r="P597" s="254"/>
      <c r="Q597" s="252" t="s">
        <v>229</v>
      </c>
      <c r="R597" s="255">
        <v>48.5</v>
      </c>
    </row>
    <row r="598" spans="1:18" ht="15.75" customHeight="1">
      <c r="A598" s="268">
        <v>118</v>
      </c>
      <c r="B598" s="265">
        <v>1</v>
      </c>
      <c r="C598" s="254"/>
      <c r="D598" s="254"/>
      <c r="E598" s="254"/>
      <c r="F598" s="254"/>
      <c r="G598" s="254"/>
      <c r="H598" s="254">
        <v>170.74</v>
      </c>
      <c r="I598" s="254"/>
      <c r="J598" s="254">
        <v>257</v>
      </c>
      <c r="K598" s="254"/>
      <c r="L598" s="252" t="s">
        <v>165</v>
      </c>
      <c r="M598" s="254">
        <v>95.52</v>
      </c>
      <c r="N598" s="254"/>
      <c r="O598" s="254"/>
      <c r="P598" s="254"/>
      <c r="Q598" s="252" t="s">
        <v>229</v>
      </c>
      <c r="R598" s="255"/>
    </row>
    <row r="599" spans="1:18" ht="15.75" customHeight="1">
      <c r="A599" s="276">
        <v>118</v>
      </c>
      <c r="B599" s="236">
        <v>2</v>
      </c>
      <c r="C599" s="200"/>
      <c r="D599" s="200"/>
      <c r="E599" s="200"/>
      <c r="F599" s="200"/>
      <c r="G599" s="200"/>
      <c r="H599" s="200">
        <v>165.03</v>
      </c>
      <c r="I599" s="200"/>
      <c r="J599" s="200">
        <v>263</v>
      </c>
      <c r="K599" s="200"/>
      <c r="L599" s="232" t="s">
        <v>165</v>
      </c>
      <c r="M599" s="200">
        <v>84.61</v>
      </c>
      <c r="N599" s="200"/>
      <c r="O599" s="200"/>
      <c r="P599" s="200"/>
      <c r="Q599" s="232" t="s">
        <v>229</v>
      </c>
      <c r="R599" s="234"/>
    </row>
    <row r="600" spans="1:18" ht="15.75" customHeight="1"/>
    <row r="601" spans="1:18" ht="15.75" customHeight="1"/>
    <row r="602" spans="1:18" ht="15.75" customHeight="1"/>
    <row r="603" spans="1:18" ht="15.75" customHeight="1"/>
    <row r="604" spans="1:18" ht="15.75" customHeight="1"/>
    <row r="605" spans="1:18" ht="15.75" customHeight="1"/>
    <row r="606" spans="1:18" ht="15.75" customHeight="1"/>
    <row r="607" spans="1:18" ht="15.75" customHeight="1"/>
    <row r="608" spans="1:1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autoFilter ref="A1:AM473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996"/>
  <sheetViews>
    <sheetView workbookViewId="0">
      <pane ySplit="1" topLeftCell="A12" activePane="bottomLeft" state="frozen"/>
      <selection pane="bottomLeft" activeCell="A17" sqref="A17:XFD17"/>
    </sheetView>
  </sheetViews>
  <sheetFormatPr defaultColWidth="12.5703125" defaultRowHeight="15" customHeight="1"/>
  <cols>
    <col min="1" max="1" width="9.42578125" customWidth="1"/>
    <col min="2" max="2" width="17" customWidth="1"/>
    <col min="3" max="3" width="9.42578125" customWidth="1"/>
    <col min="4" max="4" width="49.85546875" customWidth="1"/>
    <col min="5" max="5" width="56.7109375" customWidth="1"/>
    <col min="6" max="6" width="21.85546875" bestFit="1" customWidth="1"/>
    <col min="7" max="25" width="9.42578125" customWidth="1"/>
  </cols>
  <sheetData>
    <row r="1" spans="1:10">
      <c r="A1" s="118" t="s">
        <v>0</v>
      </c>
      <c r="B1" s="118" t="s">
        <v>233</v>
      </c>
      <c r="C1" s="118" t="s">
        <v>234</v>
      </c>
      <c r="D1" s="122" t="s">
        <v>235</v>
      </c>
      <c r="E1" s="118" t="s">
        <v>236</v>
      </c>
      <c r="F1" s="334"/>
      <c r="G1" s="118"/>
      <c r="H1" s="118"/>
    </row>
    <row r="2" spans="1:10" ht="60">
      <c r="A2" s="118">
        <v>1</v>
      </c>
      <c r="B2" s="5" t="s">
        <v>237</v>
      </c>
      <c r="C2" s="5">
        <v>2006</v>
      </c>
      <c r="D2" s="123" t="s">
        <v>238</v>
      </c>
      <c r="E2" s="8" t="s">
        <v>239</v>
      </c>
      <c r="F2" s="53"/>
      <c r="G2" s="53"/>
      <c r="H2" s="53"/>
      <c r="I2" s="53"/>
      <c r="J2" s="53"/>
    </row>
    <row r="3" spans="1:10" ht="30">
      <c r="A3" s="118">
        <v>2</v>
      </c>
      <c r="B3" s="5" t="s">
        <v>240</v>
      </c>
      <c r="C3" s="5">
        <v>1995</v>
      </c>
      <c r="D3" s="123" t="s">
        <v>241</v>
      </c>
      <c r="E3" s="123" t="s">
        <v>242</v>
      </c>
      <c r="F3" s="53"/>
      <c r="G3" s="53"/>
      <c r="H3" s="53"/>
      <c r="I3" s="53"/>
      <c r="J3" s="53"/>
    </row>
    <row r="4" spans="1:10" ht="45">
      <c r="A4" s="118">
        <v>3</v>
      </c>
      <c r="B4" s="5" t="s">
        <v>243</v>
      </c>
      <c r="C4" s="5">
        <v>2016</v>
      </c>
      <c r="D4" s="123" t="s">
        <v>244</v>
      </c>
      <c r="E4" s="123" t="s">
        <v>245</v>
      </c>
      <c r="F4" s="53"/>
      <c r="G4" s="53"/>
      <c r="H4" s="53"/>
      <c r="I4" s="53"/>
      <c r="J4" s="53"/>
    </row>
    <row r="5" spans="1:10" ht="57">
      <c r="A5" s="118">
        <v>4</v>
      </c>
      <c r="B5" s="5" t="s">
        <v>246</v>
      </c>
      <c r="C5" s="5">
        <v>2011</v>
      </c>
      <c r="D5" s="124" t="s">
        <v>247</v>
      </c>
      <c r="E5" s="123" t="s">
        <v>248</v>
      </c>
      <c r="F5" s="53"/>
      <c r="G5" s="53"/>
      <c r="H5" s="53"/>
      <c r="I5" s="53"/>
      <c r="J5" s="53"/>
    </row>
    <row r="6" spans="1:10" ht="30">
      <c r="A6" s="118">
        <v>5</v>
      </c>
      <c r="B6" s="5" t="s">
        <v>249</v>
      </c>
      <c r="C6" s="5">
        <v>2010</v>
      </c>
      <c r="D6" s="123" t="s">
        <v>250</v>
      </c>
      <c r="E6" s="123" t="s">
        <v>251</v>
      </c>
      <c r="F6" s="53"/>
      <c r="G6" s="53"/>
      <c r="H6" s="53"/>
      <c r="I6" s="53"/>
      <c r="J6" s="53"/>
    </row>
    <row r="7" spans="1:10" ht="45">
      <c r="A7" s="118">
        <v>6</v>
      </c>
      <c r="B7" s="5" t="s">
        <v>252</v>
      </c>
      <c r="C7" s="5">
        <v>2014</v>
      </c>
      <c r="D7" s="123" t="s">
        <v>253</v>
      </c>
      <c r="E7" s="123" t="s">
        <v>254</v>
      </c>
      <c r="F7" s="53"/>
      <c r="G7" s="53"/>
      <c r="H7" s="53"/>
      <c r="I7" s="53"/>
      <c r="J7" s="53"/>
    </row>
    <row r="8" spans="1:10" ht="45">
      <c r="A8" s="118">
        <v>7</v>
      </c>
      <c r="B8" s="5" t="s">
        <v>255</v>
      </c>
      <c r="C8" s="5">
        <v>2013</v>
      </c>
      <c r="D8" s="123" t="s">
        <v>256</v>
      </c>
      <c r="E8" s="123" t="s">
        <v>257</v>
      </c>
      <c r="F8" s="53"/>
      <c r="G8" s="53"/>
      <c r="H8" s="53"/>
      <c r="I8" s="53"/>
      <c r="J8" s="53"/>
    </row>
    <row r="9" spans="1:10" ht="60">
      <c r="A9" s="118">
        <v>8</v>
      </c>
      <c r="B9" s="5" t="s">
        <v>258</v>
      </c>
      <c r="C9" s="5">
        <v>2009</v>
      </c>
      <c r="D9" s="123" t="s">
        <v>259</v>
      </c>
      <c r="E9" s="123" t="s">
        <v>260</v>
      </c>
      <c r="F9" s="53"/>
      <c r="G9" s="53"/>
      <c r="H9" s="53"/>
      <c r="I9" s="53"/>
      <c r="J9" s="53"/>
    </row>
    <row r="10" spans="1:10" ht="45">
      <c r="A10" s="118">
        <v>9</v>
      </c>
      <c r="B10" s="5" t="s">
        <v>261</v>
      </c>
      <c r="C10" s="5">
        <v>2015</v>
      </c>
      <c r="D10" s="123" t="s">
        <v>262</v>
      </c>
      <c r="E10" s="123" t="s">
        <v>263</v>
      </c>
      <c r="F10" s="53"/>
      <c r="G10" s="53"/>
      <c r="H10" s="53"/>
      <c r="I10" s="53"/>
      <c r="J10" s="53"/>
    </row>
    <row r="11" spans="1:10" ht="30">
      <c r="A11" s="118">
        <v>10</v>
      </c>
      <c r="B11" s="5" t="s">
        <v>264</v>
      </c>
      <c r="C11" s="5">
        <v>1994</v>
      </c>
      <c r="D11" s="123" t="s">
        <v>265</v>
      </c>
      <c r="E11" s="123" t="s">
        <v>266</v>
      </c>
      <c r="F11" s="53"/>
      <c r="G11" s="53"/>
      <c r="H11" s="53"/>
      <c r="I11" s="53"/>
      <c r="J11" s="53"/>
    </row>
    <row r="12" spans="1:10" ht="60">
      <c r="A12" s="118">
        <v>11</v>
      </c>
      <c r="B12" s="5" t="s">
        <v>267</v>
      </c>
      <c r="C12" s="5">
        <v>2006</v>
      </c>
      <c r="D12" s="123" t="s">
        <v>268</v>
      </c>
      <c r="E12" s="123" t="s">
        <v>269</v>
      </c>
      <c r="F12" s="53"/>
      <c r="G12" s="53"/>
      <c r="H12" s="53"/>
      <c r="I12" s="53"/>
      <c r="J12" s="53"/>
    </row>
    <row r="13" spans="1:10" ht="60">
      <c r="A13" s="118">
        <v>12</v>
      </c>
      <c r="B13" s="5" t="s">
        <v>270</v>
      </c>
      <c r="C13" s="5">
        <v>2014</v>
      </c>
      <c r="D13" s="123" t="s">
        <v>271</v>
      </c>
      <c r="E13" s="123" t="s">
        <v>272</v>
      </c>
      <c r="F13" s="53"/>
      <c r="G13" s="53"/>
      <c r="H13" s="53"/>
      <c r="I13" s="53"/>
      <c r="J13" s="53"/>
    </row>
    <row r="14" spans="1:10" ht="60">
      <c r="A14" s="118">
        <v>13</v>
      </c>
      <c r="B14" s="5" t="s">
        <v>273</v>
      </c>
      <c r="C14" s="5">
        <v>2017</v>
      </c>
      <c r="D14" s="123" t="s">
        <v>274</v>
      </c>
      <c r="E14" s="123" t="s">
        <v>275</v>
      </c>
      <c r="F14" s="53"/>
      <c r="G14" s="53"/>
      <c r="H14" s="53"/>
      <c r="I14" s="53"/>
      <c r="J14" s="53"/>
    </row>
    <row r="15" spans="1:10" ht="45">
      <c r="A15" s="118">
        <v>14</v>
      </c>
      <c r="B15" s="5" t="s">
        <v>276</v>
      </c>
      <c r="C15" s="5">
        <v>2007</v>
      </c>
      <c r="D15" s="123" t="s">
        <v>277</v>
      </c>
      <c r="E15" s="123" t="s">
        <v>278</v>
      </c>
      <c r="F15" s="53"/>
      <c r="G15" s="53"/>
      <c r="H15" s="53"/>
      <c r="I15" s="53"/>
      <c r="J15" s="53"/>
    </row>
    <row r="16" spans="1:10" ht="45">
      <c r="A16" s="118">
        <v>15</v>
      </c>
      <c r="B16" s="5" t="s">
        <v>279</v>
      </c>
      <c r="C16" s="5">
        <v>2018</v>
      </c>
      <c r="D16" s="123" t="s">
        <v>280</v>
      </c>
      <c r="E16" s="125" t="s">
        <v>281</v>
      </c>
      <c r="F16" s="53"/>
      <c r="G16" s="53"/>
      <c r="I16" s="53"/>
      <c r="J16" s="53"/>
    </row>
    <row r="17" spans="1:10" ht="45">
      <c r="A17" s="118">
        <v>17</v>
      </c>
      <c r="B17" s="5" t="s">
        <v>283</v>
      </c>
      <c r="C17" s="5">
        <v>2013</v>
      </c>
      <c r="D17" s="123" t="s">
        <v>284</v>
      </c>
      <c r="E17" s="123" t="s">
        <v>285</v>
      </c>
      <c r="F17" s="53"/>
      <c r="G17" s="53"/>
      <c r="I17" s="53"/>
      <c r="J17" s="53"/>
    </row>
    <row r="18" spans="1:10">
      <c r="A18" s="118">
        <v>18</v>
      </c>
      <c r="B18" s="338" t="s">
        <v>670</v>
      </c>
      <c r="C18" s="339"/>
      <c r="D18" s="339"/>
      <c r="E18" s="339"/>
      <c r="F18" s="53"/>
    </row>
    <row r="19" spans="1:10" ht="51.75" customHeight="1">
      <c r="A19" s="126">
        <v>19</v>
      </c>
      <c r="B19" s="17" t="s">
        <v>286</v>
      </c>
      <c r="C19" s="17">
        <v>2002</v>
      </c>
      <c r="D19" s="127" t="s">
        <v>287</v>
      </c>
      <c r="E19" s="17" t="s">
        <v>288</v>
      </c>
      <c r="F19" s="53"/>
    </row>
    <row r="20" spans="1:10" ht="51.75" customHeight="1">
      <c r="A20" s="126">
        <v>20</v>
      </c>
      <c r="B20" s="17" t="s">
        <v>289</v>
      </c>
      <c r="C20" s="17">
        <v>2009</v>
      </c>
      <c r="D20" s="128" t="s">
        <v>290</v>
      </c>
      <c r="E20" s="22" t="s">
        <v>291</v>
      </c>
      <c r="F20" s="53"/>
    </row>
    <row r="21" spans="1:10" ht="51.75" customHeight="1">
      <c r="A21" s="126">
        <v>21</v>
      </c>
      <c r="B21" s="17" t="s">
        <v>292</v>
      </c>
      <c r="C21" s="17">
        <v>2014</v>
      </c>
      <c r="D21" s="128" t="s">
        <v>293</v>
      </c>
      <c r="E21" s="17" t="s">
        <v>294</v>
      </c>
      <c r="F21" s="53"/>
    </row>
    <row r="22" spans="1:10" ht="43.5" customHeight="1">
      <c r="A22" s="126">
        <v>22</v>
      </c>
      <c r="B22" s="17" t="s">
        <v>295</v>
      </c>
      <c r="C22" s="17">
        <v>1995</v>
      </c>
      <c r="D22" s="128" t="s">
        <v>296</v>
      </c>
      <c r="E22" s="22" t="s">
        <v>297</v>
      </c>
      <c r="F22" s="53"/>
    </row>
    <row r="23" spans="1:10" ht="31.5" customHeight="1">
      <c r="A23" s="126">
        <v>23</v>
      </c>
      <c r="B23" s="17" t="s">
        <v>298</v>
      </c>
      <c r="C23" s="17">
        <v>2004</v>
      </c>
      <c r="D23" s="128" t="s">
        <v>299</v>
      </c>
      <c r="E23" s="17" t="s">
        <v>300</v>
      </c>
      <c r="F23" s="53"/>
    </row>
    <row r="24" spans="1:10" ht="51.75" customHeight="1">
      <c r="A24" s="126">
        <v>24</v>
      </c>
      <c r="B24" s="17" t="s">
        <v>301</v>
      </c>
      <c r="C24" s="17">
        <v>2000</v>
      </c>
      <c r="D24" s="128" t="s">
        <v>302</v>
      </c>
      <c r="E24" s="129" t="s">
        <v>303</v>
      </c>
      <c r="F24" s="53"/>
    </row>
    <row r="25" spans="1:10" ht="51.75" customHeight="1">
      <c r="A25" s="126">
        <v>25</v>
      </c>
      <c r="B25" s="17" t="s">
        <v>304</v>
      </c>
      <c r="C25" s="17">
        <v>2018</v>
      </c>
      <c r="D25" s="130" t="s">
        <v>305</v>
      </c>
      <c r="E25" s="131" t="s">
        <v>306</v>
      </c>
      <c r="F25" s="53"/>
    </row>
    <row r="26" spans="1:10" ht="51.75" customHeight="1">
      <c r="A26" s="126">
        <v>26</v>
      </c>
      <c r="B26" s="17" t="s">
        <v>307</v>
      </c>
      <c r="C26" s="17">
        <v>2017</v>
      </c>
      <c r="D26" s="130" t="s">
        <v>308</v>
      </c>
      <c r="E26" s="131" t="s">
        <v>309</v>
      </c>
      <c r="F26" s="53"/>
    </row>
    <row r="27" spans="1:10" ht="29.25">
      <c r="A27" s="126">
        <v>27</v>
      </c>
      <c r="B27" s="17" t="s">
        <v>310</v>
      </c>
      <c r="C27" s="17">
        <v>2013</v>
      </c>
      <c r="D27" s="128" t="s">
        <v>311</v>
      </c>
      <c r="E27" s="17" t="s">
        <v>312</v>
      </c>
      <c r="F27" s="53"/>
    </row>
    <row r="28" spans="1:10" ht="57.75">
      <c r="A28" s="126">
        <v>28</v>
      </c>
      <c r="B28" s="22" t="s">
        <v>313</v>
      </c>
      <c r="C28" s="17">
        <v>2016</v>
      </c>
      <c r="D28" s="128" t="s">
        <v>314</v>
      </c>
      <c r="E28" s="22" t="s">
        <v>315</v>
      </c>
      <c r="F28" s="53"/>
    </row>
    <row r="29" spans="1:10" ht="43.5">
      <c r="A29" s="119">
        <v>29</v>
      </c>
      <c r="B29" s="132" t="s">
        <v>316</v>
      </c>
      <c r="C29" s="132">
        <v>2000</v>
      </c>
      <c r="D29" s="133" t="s">
        <v>317</v>
      </c>
      <c r="E29" s="35" t="s">
        <v>318</v>
      </c>
    </row>
    <row r="30" spans="1:10" ht="15.75" customHeight="1">
      <c r="A30" s="119">
        <v>30</v>
      </c>
      <c r="B30" s="132" t="s">
        <v>319</v>
      </c>
      <c r="C30" s="132">
        <v>2019</v>
      </c>
      <c r="D30" s="133" t="s">
        <v>320</v>
      </c>
      <c r="E30" s="132" t="s">
        <v>321</v>
      </c>
    </row>
    <row r="31" spans="1:10" ht="30">
      <c r="A31" s="119">
        <v>31</v>
      </c>
      <c r="B31" s="132" t="s">
        <v>322</v>
      </c>
      <c r="C31" s="132">
        <v>2013</v>
      </c>
      <c r="D31" s="222" t="s">
        <v>323</v>
      </c>
      <c r="E31" s="132" t="s">
        <v>324</v>
      </c>
    </row>
    <row r="32" spans="1:10" ht="41.25" customHeight="1">
      <c r="A32" s="119">
        <v>32</v>
      </c>
      <c r="B32" s="132" t="s">
        <v>325</v>
      </c>
      <c r="C32" s="132">
        <v>1990</v>
      </c>
      <c r="D32" s="133" t="s">
        <v>326</v>
      </c>
      <c r="E32" s="35" t="s">
        <v>327</v>
      </c>
    </row>
    <row r="33" spans="1:25" ht="30" customHeight="1">
      <c r="A33" s="119">
        <v>33</v>
      </c>
      <c r="B33" s="132" t="s">
        <v>328</v>
      </c>
      <c r="C33" s="132">
        <v>2016</v>
      </c>
      <c r="D33" s="333" t="s">
        <v>329</v>
      </c>
      <c r="E33" s="35" t="s">
        <v>330</v>
      </c>
    </row>
    <row r="34" spans="1:25" ht="29.25" customHeight="1">
      <c r="A34" s="119">
        <v>34</v>
      </c>
      <c r="B34" s="132" t="s">
        <v>331</v>
      </c>
      <c r="C34" s="35">
        <v>2017</v>
      </c>
      <c r="D34" s="133" t="s">
        <v>332</v>
      </c>
      <c r="E34" s="132" t="s">
        <v>333</v>
      </c>
    </row>
    <row r="35" spans="1:25" ht="57.75" customHeight="1">
      <c r="A35" s="119">
        <v>35</v>
      </c>
      <c r="B35" s="132" t="s">
        <v>334</v>
      </c>
      <c r="C35" s="132">
        <v>2013</v>
      </c>
      <c r="D35" s="333" t="s">
        <v>335</v>
      </c>
      <c r="E35" s="134" t="s">
        <v>336</v>
      </c>
    </row>
    <row r="36" spans="1:25" ht="29.25">
      <c r="A36" s="119">
        <v>36</v>
      </c>
      <c r="B36" s="132" t="s">
        <v>337</v>
      </c>
      <c r="C36" s="132">
        <v>2003</v>
      </c>
      <c r="D36" s="133" t="s">
        <v>338</v>
      </c>
      <c r="E36" s="35" t="s">
        <v>339</v>
      </c>
    </row>
    <row r="37" spans="1:25" ht="62.25" customHeight="1">
      <c r="A37" s="119">
        <v>37</v>
      </c>
      <c r="B37" s="132" t="s">
        <v>340</v>
      </c>
      <c r="C37" s="132">
        <v>2013</v>
      </c>
      <c r="D37" s="133" t="s">
        <v>341</v>
      </c>
      <c r="E37" s="35" t="s">
        <v>342</v>
      </c>
    </row>
    <row r="38" spans="1:25" ht="55.5" customHeight="1">
      <c r="A38" s="223">
        <v>38</v>
      </c>
      <c r="B38" s="133" t="s">
        <v>343</v>
      </c>
      <c r="C38" s="133">
        <v>2022</v>
      </c>
      <c r="D38" s="135" t="s">
        <v>344</v>
      </c>
      <c r="E38" s="133" t="s">
        <v>345</v>
      </c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</row>
    <row r="39" spans="1:25" ht="65.25" customHeight="1">
      <c r="A39" s="119">
        <v>39</v>
      </c>
      <c r="B39" s="132" t="s">
        <v>346</v>
      </c>
      <c r="C39" s="132">
        <v>2020</v>
      </c>
      <c r="D39" s="222" t="s">
        <v>347</v>
      </c>
      <c r="E39" s="35" t="s">
        <v>348</v>
      </c>
    </row>
    <row r="40" spans="1:25" ht="29.25" customHeight="1">
      <c r="A40" s="119">
        <v>40</v>
      </c>
      <c r="B40" s="132" t="s">
        <v>249</v>
      </c>
      <c r="C40" s="132">
        <v>2013</v>
      </c>
      <c r="D40" s="222" t="s">
        <v>349</v>
      </c>
      <c r="E40" s="35" t="s">
        <v>350</v>
      </c>
    </row>
    <row r="41" spans="1:25" ht="70.5" customHeight="1">
      <c r="A41" s="119">
        <v>41</v>
      </c>
      <c r="B41" s="132" t="s">
        <v>351</v>
      </c>
      <c r="C41" s="132">
        <v>2020</v>
      </c>
      <c r="D41" s="133" t="s">
        <v>352</v>
      </c>
      <c r="E41" s="35" t="s">
        <v>353</v>
      </c>
    </row>
    <row r="42" spans="1:25" ht="56.25" customHeight="1">
      <c r="A42" s="119">
        <v>42</v>
      </c>
      <c r="B42" s="132" t="s">
        <v>249</v>
      </c>
      <c r="C42" s="132">
        <v>2007</v>
      </c>
      <c r="D42" s="333" t="s">
        <v>354</v>
      </c>
      <c r="E42" s="132" t="s">
        <v>355</v>
      </c>
    </row>
    <row r="43" spans="1:25" ht="71.25" customHeight="1">
      <c r="A43" s="119">
        <v>43</v>
      </c>
      <c r="B43" s="132" t="s">
        <v>356</v>
      </c>
      <c r="C43" s="132">
        <v>2016</v>
      </c>
      <c r="D43" s="133" t="s">
        <v>357</v>
      </c>
      <c r="E43" s="136" t="s">
        <v>358</v>
      </c>
    </row>
    <row r="44" spans="1:25" ht="74.25" customHeight="1">
      <c r="A44" s="119">
        <v>44</v>
      </c>
      <c r="B44" s="132" t="s">
        <v>359</v>
      </c>
      <c r="C44" s="132">
        <v>2022</v>
      </c>
      <c r="D44" s="133" t="s">
        <v>360</v>
      </c>
      <c r="E44" s="137" t="s">
        <v>361</v>
      </c>
    </row>
    <row r="45" spans="1:25" ht="55.5" customHeight="1">
      <c r="A45" s="119">
        <v>45</v>
      </c>
      <c r="B45" s="132" t="s">
        <v>249</v>
      </c>
      <c r="C45" s="132">
        <v>2013</v>
      </c>
      <c r="D45" s="133" t="s">
        <v>362</v>
      </c>
      <c r="E45" s="132" t="s">
        <v>363</v>
      </c>
    </row>
    <row r="46" spans="1:25" ht="68.25" customHeight="1">
      <c r="A46" s="119">
        <v>46</v>
      </c>
      <c r="B46" s="132" t="s">
        <v>364</v>
      </c>
      <c r="C46" s="132">
        <v>2022</v>
      </c>
      <c r="D46" s="133" t="s">
        <v>365</v>
      </c>
      <c r="E46" s="35" t="s">
        <v>366</v>
      </c>
    </row>
    <row r="47" spans="1:25" ht="42.75" customHeight="1">
      <c r="A47" s="119">
        <v>47</v>
      </c>
      <c r="B47" s="132" t="s">
        <v>367</v>
      </c>
      <c r="C47" s="132">
        <v>2019</v>
      </c>
      <c r="D47" s="133" t="s">
        <v>368</v>
      </c>
      <c r="E47" s="136" t="s">
        <v>369</v>
      </c>
    </row>
    <row r="48" spans="1:25" ht="58.5" customHeight="1">
      <c r="A48" s="119">
        <v>48</v>
      </c>
      <c r="B48" s="132" t="s">
        <v>370</v>
      </c>
      <c r="C48" s="132">
        <v>2011</v>
      </c>
      <c r="D48" s="133" t="s">
        <v>371</v>
      </c>
      <c r="E48" s="35" t="s">
        <v>372</v>
      </c>
    </row>
    <row r="49" spans="1:7" ht="33.75" customHeight="1">
      <c r="A49" s="119">
        <v>49</v>
      </c>
      <c r="B49" s="132" t="s">
        <v>337</v>
      </c>
      <c r="C49" s="132">
        <v>2003</v>
      </c>
      <c r="D49" s="133" t="s">
        <v>373</v>
      </c>
      <c r="E49" s="132" t="s">
        <v>374</v>
      </c>
    </row>
    <row r="50" spans="1:7" ht="57.75">
      <c r="A50" s="119">
        <v>50</v>
      </c>
      <c r="B50" s="132" t="s">
        <v>375</v>
      </c>
      <c r="C50" s="132">
        <v>2020</v>
      </c>
      <c r="D50" s="133" t="s">
        <v>376</v>
      </c>
      <c r="E50" s="35" t="s">
        <v>377</v>
      </c>
    </row>
    <row r="51" spans="1:7" ht="45">
      <c r="A51" s="119">
        <v>51</v>
      </c>
      <c r="B51" s="132" t="s">
        <v>378</v>
      </c>
      <c r="C51" s="132">
        <v>2018</v>
      </c>
      <c r="D51" s="222" t="s">
        <v>379</v>
      </c>
      <c r="E51" s="132" t="s">
        <v>380</v>
      </c>
    </row>
    <row r="52" spans="1:7" ht="75">
      <c r="A52" s="119">
        <v>52</v>
      </c>
      <c r="B52" s="132" t="s">
        <v>381</v>
      </c>
      <c r="C52" s="132">
        <v>1998</v>
      </c>
      <c r="D52" s="222" t="s">
        <v>382</v>
      </c>
      <c r="E52" s="35" t="s">
        <v>383</v>
      </c>
    </row>
    <row r="53" spans="1:7" ht="54" customHeight="1">
      <c r="A53" s="119">
        <v>53</v>
      </c>
      <c r="B53" s="132" t="s">
        <v>384</v>
      </c>
      <c r="C53" s="132">
        <v>2020</v>
      </c>
      <c r="D53" s="133" t="s">
        <v>385</v>
      </c>
      <c r="E53" s="132" t="s">
        <v>386</v>
      </c>
    </row>
    <row r="54" spans="1:7" ht="43.5">
      <c r="A54" s="119">
        <v>54</v>
      </c>
      <c r="B54" s="132" t="s">
        <v>387</v>
      </c>
      <c r="C54" s="132">
        <v>2016</v>
      </c>
      <c r="D54" s="133" t="s">
        <v>388</v>
      </c>
      <c r="E54" s="132" t="s">
        <v>389</v>
      </c>
    </row>
    <row r="55" spans="1:7" ht="43.5">
      <c r="A55" s="119">
        <v>55</v>
      </c>
      <c r="B55" s="132" t="s">
        <v>390</v>
      </c>
      <c r="C55" s="132">
        <v>1999</v>
      </c>
      <c r="D55" s="133" t="s">
        <v>391</v>
      </c>
      <c r="E55" s="35" t="s">
        <v>392</v>
      </c>
    </row>
    <row r="56" spans="1:7" ht="43.5">
      <c r="A56" s="119">
        <v>56</v>
      </c>
      <c r="B56" s="132" t="s">
        <v>393</v>
      </c>
      <c r="C56" s="132">
        <v>2024</v>
      </c>
      <c r="D56" s="133" t="s">
        <v>394</v>
      </c>
      <c r="E56" s="132" t="s">
        <v>395</v>
      </c>
    </row>
    <row r="57" spans="1:7" ht="57.75">
      <c r="A57" s="119">
        <v>57</v>
      </c>
      <c r="B57" s="132" t="s">
        <v>396</v>
      </c>
      <c r="C57" s="132">
        <v>2023</v>
      </c>
      <c r="D57" s="133" t="s">
        <v>397</v>
      </c>
      <c r="E57" s="132" t="s">
        <v>398</v>
      </c>
      <c r="G57" s="132"/>
    </row>
    <row r="58" spans="1:7" ht="43.5">
      <c r="A58" s="119">
        <v>58</v>
      </c>
      <c r="B58" s="132" t="s">
        <v>399</v>
      </c>
      <c r="C58" s="132">
        <v>2022</v>
      </c>
      <c r="D58" s="133" t="s">
        <v>400</v>
      </c>
      <c r="E58" s="35" t="s">
        <v>401</v>
      </c>
    </row>
    <row r="59" spans="1:7" ht="72">
      <c r="A59" s="119">
        <v>59</v>
      </c>
      <c r="B59" s="132" t="s">
        <v>396</v>
      </c>
      <c r="C59" s="132">
        <v>2019</v>
      </c>
      <c r="D59" s="133" t="s">
        <v>402</v>
      </c>
      <c r="E59" s="132" t="s">
        <v>403</v>
      </c>
    </row>
    <row r="60" spans="1:7" ht="50.25" customHeight="1">
      <c r="A60" s="119">
        <v>60</v>
      </c>
      <c r="B60" s="132" t="s">
        <v>404</v>
      </c>
      <c r="C60" s="132">
        <v>2025</v>
      </c>
      <c r="D60" s="133" t="s">
        <v>405</v>
      </c>
      <c r="E60" s="134" t="s">
        <v>406</v>
      </c>
    </row>
    <row r="61" spans="1:7" ht="81" customHeight="1">
      <c r="A61" s="119">
        <v>61</v>
      </c>
      <c r="B61" s="132" t="s">
        <v>407</v>
      </c>
      <c r="C61" s="132">
        <v>2021</v>
      </c>
      <c r="D61" s="133" t="s">
        <v>408</v>
      </c>
      <c r="E61" s="35" t="s">
        <v>409</v>
      </c>
    </row>
    <row r="62" spans="1:7" ht="66.75" customHeight="1">
      <c r="A62" s="119">
        <v>62</v>
      </c>
      <c r="B62" s="132" t="s">
        <v>410</v>
      </c>
      <c r="C62" s="132">
        <v>2021</v>
      </c>
      <c r="D62" s="133" t="s">
        <v>411</v>
      </c>
      <c r="E62" s="134" t="s">
        <v>412</v>
      </c>
    </row>
    <row r="63" spans="1:7" ht="63.75" customHeight="1">
      <c r="A63" s="119">
        <v>63</v>
      </c>
      <c r="B63" s="132" t="s">
        <v>413</v>
      </c>
      <c r="C63" s="132">
        <v>2020</v>
      </c>
      <c r="D63" s="133" t="s">
        <v>414</v>
      </c>
      <c r="E63" s="134" t="s">
        <v>415</v>
      </c>
    </row>
    <row r="64" spans="1:7" ht="60" customHeight="1">
      <c r="A64" s="119">
        <v>64</v>
      </c>
      <c r="B64" s="132" t="s">
        <v>410</v>
      </c>
      <c r="C64" s="132">
        <v>2019</v>
      </c>
      <c r="D64" s="133" t="s">
        <v>416</v>
      </c>
      <c r="E64" s="132" t="s">
        <v>417</v>
      </c>
    </row>
    <row r="65" spans="1:5" ht="29.25">
      <c r="A65" s="119">
        <v>65</v>
      </c>
      <c r="B65" s="132" t="s">
        <v>418</v>
      </c>
      <c r="C65" s="132">
        <v>2012</v>
      </c>
      <c r="D65" s="133" t="s">
        <v>419</v>
      </c>
      <c r="E65" s="132" t="s">
        <v>420</v>
      </c>
    </row>
    <row r="66" spans="1:5" ht="43.5">
      <c r="A66" s="119">
        <v>66</v>
      </c>
      <c r="B66" s="132" t="s">
        <v>421</v>
      </c>
      <c r="C66" s="132">
        <v>2022</v>
      </c>
      <c r="D66" s="133" t="s">
        <v>422</v>
      </c>
      <c r="E66" s="134" t="s">
        <v>423</v>
      </c>
    </row>
    <row r="67" spans="1:5" ht="41.25" customHeight="1">
      <c r="A67" s="119">
        <v>67</v>
      </c>
      <c r="B67" s="132" t="s">
        <v>424</v>
      </c>
      <c r="C67" s="132">
        <v>2020</v>
      </c>
      <c r="D67" s="133" t="s">
        <v>425</v>
      </c>
      <c r="E67" s="134" t="s">
        <v>426</v>
      </c>
    </row>
    <row r="68" spans="1:5" ht="43.5">
      <c r="A68" s="119">
        <v>68</v>
      </c>
      <c r="B68" s="132" t="s">
        <v>427</v>
      </c>
      <c r="C68" s="132">
        <v>1999</v>
      </c>
      <c r="D68" s="133" t="s">
        <v>428</v>
      </c>
      <c r="E68" s="138" t="s">
        <v>429</v>
      </c>
    </row>
    <row r="69" spans="1:5" ht="43.5">
      <c r="A69" s="119">
        <v>69</v>
      </c>
      <c r="B69" s="132" t="s">
        <v>430</v>
      </c>
      <c r="C69" s="132">
        <v>2020</v>
      </c>
      <c r="D69" s="133" t="s">
        <v>431</v>
      </c>
      <c r="E69" s="134" t="s">
        <v>432</v>
      </c>
    </row>
    <row r="70" spans="1:5" ht="59.25" customHeight="1">
      <c r="A70" s="119">
        <v>70</v>
      </c>
      <c r="B70" s="132" t="s">
        <v>433</v>
      </c>
      <c r="C70" s="132">
        <v>2024</v>
      </c>
      <c r="D70" s="133" t="s">
        <v>434</v>
      </c>
      <c r="E70" s="134" t="s">
        <v>435</v>
      </c>
    </row>
    <row r="71" spans="1:5" ht="62.25" customHeight="1">
      <c r="A71" s="119">
        <v>71</v>
      </c>
      <c r="B71" s="132" t="s">
        <v>237</v>
      </c>
      <c r="C71" s="132">
        <v>2016</v>
      </c>
      <c r="D71" s="133" t="s">
        <v>436</v>
      </c>
      <c r="E71" s="132" t="s">
        <v>437</v>
      </c>
    </row>
    <row r="72" spans="1:5" ht="47.25" customHeight="1">
      <c r="A72" s="119">
        <v>72</v>
      </c>
      <c r="B72" s="132" t="s">
        <v>438</v>
      </c>
      <c r="C72" s="132">
        <v>2023</v>
      </c>
      <c r="D72" s="133" t="s">
        <v>439</v>
      </c>
      <c r="E72" s="134" t="s">
        <v>440</v>
      </c>
    </row>
    <row r="73" spans="1:5" ht="29.25">
      <c r="A73" s="119">
        <v>73</v>
      </c>
      <c r="B73" s="132" t="s">
        <v>441</v>
      </c>
      <c r="C73" s="132">
        <v>2000</v>
      </c>
      <c r="D73" s="133" t="s">
        <v>442</v>
      </c>
      <c r="E73" s="35" t="s">
        <v>443</v>
      </c>
    </row>
    <row r="74" spans="1:5" ht="45" customHeight="1">
      <c r="A74" s="119">
        <v>74</v>
      </c>
      <c r="B74" s="132" t="s">
        <v>444</v>
      </c>
      <c r="C74" s="132">
        <v>2012</v>
      </c>
      <c r="D74" s="133" t="s">
        <v>445</v>
      </c>
      <c r="E74" s="35" t="s">
        <v>446</v>
      </c>
    </row>
    <row r="75" spans="1:5" ht="57" customHeight="1">
      <c r="A75" s="119">
        <v>75</v>
      </c>
      <c r="B75" s="132" t="s">
        <v>237</v>
      </c>
      <c r="C75" s="132">
        <v>2016</v>
      </c>
      <c r="D75" s="133" t="s">
        <v>447</v>
      </c>
      <c r="E75" s="134" t="s">
        <v>448</v>
      </c>
    </row>
    <row r="76" spans="1:5" ht="47.25" customHeight="1">
      <c r="A76" s="119">
        <v>76</v>
      </c>
      <c r="B76" s="132" t="s">
        <v>449</v>
      </c>
      <c r="C76" s="132">
        <v>2017</v>
      </c>
      <c r="D76" s="133" t="s">
        <v>450</v>
      </c>
      <c r="E76" s="132" t="s">
        <v>451</v>
      </c>
    </row>
    <row r="77" spans="1:5" ht="39.75" customHeight="1">
      <c r="A77" s="119">
        <v>77</v>
      </c>
      <c r="B77" s="132" t="s">
        <v>438</v>
      </c>
      <c r="C77" s="132">
        <v>2016</v>
      </c>
      <c r="D77" s="133" t="s">
        <v>452</v>
      </c>
      <c r="E77" s="35" t="s">
        <v>453</v>
      </c>
    </row>
    <row r="78" spans="1:5" ht="48.75" customHeight="1">
      <c r="A78" s="119">
        <v>78</v>
      </c>
      <c r="B78" s="132" t="s">
        <v>454</v>
      </c>
      <c r="C78" s="132">
        <v>2023</v>
      </c>
      <c r="D78" s="133" t="s">
        <v>455</v>
      </c>
      <c r="E78" s="134" t="s">
        <v>456</v>
      </c>
    </row>
    <row r="79" spans="1:5" ht="57" customHeight="1">
      <c r="A79" s="119">
        <v>79</v>
      </c>
      <c r="B79" s="132" t="s">
        <v>457</v>
      </c>
      <c r="C79" s="132">
        <v>2015</v>
      </c>
      <c r="D79" s="135" t="s">
        <v>458</v>
      </c>
      <c r="E79" s="35" t="s">
        <v>459</v>
      </c>
    </row>
    <row r="80" spans="1:5" ht="59.25" customHeight="1">
      <c r="A80" s="119">
        <v>80</v>
      </c>
      <c r="B80" s="202" t="s">
        <v>460</v>
      </c>
      <c r="C80" s="132">
        <v>2020</v>
      </c>
      <c r="D80" s="135" t="s">
        <v>461</v>
      </c>
      <c r="E80" s="35" t="s">
        <v>462</v>
      </c>
    </row>
    <row r="81" spans="1:25" ht="45" customHeight="1">
      <c r="A81" s="119">
        <v>81</v>
      </c>
      <c r="B81" s="132" t="s">
        <v>356</v>
      </c>
      <c r="C81" s="132">
        <v>2014</v>
      </c>
      <c r="D81" s="133" t="s">
        <v>463</v>
      </c>
      <c r="E81" s="134" t="s">
        <v>464</v>
      </c>
    </row>
    <row r="82" spans="1:25" ht="57.75" customHeight="1">
      <c r="A82" s="119">
        <v>82</v>
      </c>
      <c r="B82" s="132" t="s">
        <v>249</v>
      </c>
      <c r="C82" s="132">
        <v>2025</v>
      </c>
      <c r="D82" s="133" t="s">
        <v>465</v>
      </c>
      <c r="E82" s="134" t="s">
        <v>466</v>
      </c>
    </row>
    <row r="83" spans="1:25" ht="57" customHeight="1">
      <c r="A83" s="119">
        <v>83</v>
      </c>
      <c r="B83" s="132" t="s">
        <v>467</v>
      </c>
      <c r="C83" s="132">
        <v>2010</v>
      </c>
      <c r="D83" s="133" t="s">
        <v>468</v>
      </c>
      <c r="E83" s="35" t="s">
        <v>469</v>
      </c>
    </row>
    <row r="84" spans="1:25" ht="69" customHeight="1">
      <c r="A84" s="119">
        <v>84</v>
      </c>
      <c r="B84" s="132" t="s">
        <v>470</v>
      </c>
      <c r="C84" s="132">
        <v>2019</v>
      </c>
      <c r="D84" s="133" t="s">
        <v>471</v>
      </c>
      <c r="E84" s="35" t="s">
        <v>472</v>
      </c>
    </row>
    <row r="85" spans="1:25" ht="60.75" customHeight="1">
      <c r="A85" s="119">
        <v>85</v>
      </c>
      <c r="B85" s="132" t="s">
        <v>282</v>
      </c>
      <c r="C85" s="132">
        <v>2014</v>
      </c>
      <c r="D85" s="133" t="s">
        <v>473</v>
      </c>
      <c r="E85" s="35" t="s">
        <v>474</v>
      </c>
    </row>
    <row r="86" spans="1:25" ht="39" customHeight="1">
      <c r="A86" s="119">
        <v>86</v>
      </c>
      <c r="B86" s="132" t="s">
        <v>475</v>
      </c>
      <c r="C86" s="132">
        <v>2025</v>
      </c>
      <c r="D86" s="133" t="s">
        <v>476</v>
      </c>
      <c r="E86" s="134" t="s">
        <v>477</v>
      </c>
    </row>
    <row r="87" spans="1:25" ht="45.75" customHeight="1">
      <c r="A87" s="119">
        <v>87</v>
      </c>
      <c r="B87" s="132" t="s">
        <v>478</v>
      </c>
      <c r="C87" s="132">
        <v>2015</v>
      </c>
      <c r="D87" s="133" t="s">
        <v>479</v>
      </c>
      <c r="E87" s="134" t="s">
        <v>480</v>
      </c>
    </row>
    <row r="88" spans="1:25" ht="43.5">
      <c r="A88" s="119">
        <v>88</v>
      </c>
      <c r="B88" s="132" t="s">
        <v>481</v>
      </c>
      <c r="C88" s="132">
        <v>2014</v>
      </c>
      <c r="D88" s="224" t="s">
        <v>482</v>
      </c>
      <c r="E88" s="132" t="s">
        <v>483</v>
      </c>
    </row>
    <row r="89" spans="1:25" ht="43.5">
      <c r="A89" s="119">
        <v>89</v>
      </c>
      <c r="B89" s="132" t="s">
        <v>387</v>
      </c>
      <c r="C89" s="132">
        <v>2007</v>
      </c>
      <c r="D89" s="133" t="s">
        <v>484</v>
      </c>
      <c r="E89" s="132" t="s">
        <v>485</v>
      </c>
    </row>
    <row r="90" spans="1:25" ht="57" customHeight="1">
      <c r="A90" s="119">
        <v>90</v>
      </c>
      <c r="B90" s="132" t="s">
        <v>486</v>
      </c>
      <c r="C90" s="132">
        <v>2021</v>
      </c>
      <c r="D90" s="133" t="s">
        <v>487</v>
      </c>
      <c r="E90" s="134" t="s">
        <v>488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spans="1:25" ht="57.75">
      <c r="A91" s="119">
        <v>91</v>
      </c>
      <c r="B91" s="132" t="s">
        <v>489</v>
      </c>
      <c r="C91" s="132">
        <v>2021</v>
      </c>
      <c r="D91" s="133" t="s">
        <v>490</v>
      </c>
      <c r="E91" s="35" t="s">
        <v>491</v>
      </c>
    </row>
    <row r="92" spans="1:25" ht="65.25" customHeight="1">
      <c r="A92" s="119">
        <v>92</v>
      </c>
      <c r="B92" s="132" t="s">
        <v>492</v>
      </c>
      <c r="C92" s="132">
        <v>2016</v>
      </c>
      <c r="D92" s="133" t="s">
        <v>493</v>
      </c>
      <c r="E92" s="35" t="s">
        <v>494</v>
      </c>
    </row>
    <row r="93" spans="1:25" ht="43.5">
      <c r="A93" s="119">
        <v>93</v>
      </c>
      <c r="B93" s="132" t="s">
        <v>495</v>
      </c>
      <c r="C93" s="132">
        <v>2013</v>
      </c>
      <c r="D93" s="133" t="s">
        <v>496</v>
      </c>
      <c r="E93" s="35" t="s">
        <v>497</v>
      </c>
    </row>
    <row r="94" spans="1:25" ht="43.5">
      <c r="A94" s="119">
        <v>94</v>
      </c>
      <c r="B94" s="132" t="s">
        <v>498</v>
      </c>
      <c r="C94" s="132">
        <v>2012</v>
      </c>
      <c r="D94" s="133" t="s">
        <v>499</v>
      </c>
      <c r="E94" s="35" t="s">
        <v>500</v>
      </c>
    </row>
    <row r="95" spans="1:25" ht="43.5">
      <c r="A95" s="119">
        <v>95</v>
      </c>
      <c r="B95" s="132" t="s">
        <v>501</v>
      </c>
      <c r="C95" s="132">
        <v>2000</v>
      </c>
      <c r="D95" s="133" t="s">
        <v>502</v>
      </c>
      <c r="E95" s="35" t="s">
        <v>503</v>
      </c>
    </row>
    <row r="96" spans="1:25" ht="72">
      <c r="A96" s="119">
        <v>96</v>
      </c>
      <c r="B96" s="132" t="s">
        <v>504</v>
      </c>
      <c r="C96" s="132">
        <v>2020</v>
      </c>
      <c r="D96" s="133" t="s">
        <v>505</v>
      </c>
      <c r="E96" s="35" t="s">
        <v>506</v>
      </c>
    </row>
    <row r="97" spans="1:6" ht="57.75">
      <c r="A97" s="119">
        <v>97</v>
      </c>
      <c r="B97" s="132" t="s">
        <v>507</v>
      </c>
      <c r="C97" s="132">
        <v>2012</v>
      </c>
      <c r="D97" s="133" t="s">
        <v>508</v>
      </c>
      <c r="E97" s="35" t="s">
        <v>509</v>
      </c>
    </row>
    <row r="98" spans="1:6" ht="29.25">
      <c r="A98" s="119">
        <v>98</v>
      </c>
      <c r="B98" s="132" t="s">
        <v>510</v>
      </c>
      <c r="C98" s="132">
        <v>2011</v>
      </c>
      <c r="D98" s="133" t="s">
        <v>511</v>
      </c>
      <c r="E98" s="35" t="s">
        <v>512</v>
      </c>
    </row>
    <row r="99" spans="1:6" ht="57">
      <c r="A99" s="119">
        <v>99</v>
      </c>
      <c r="B99" s="124" t="s">
        <v>513</v>
      </c>
      <c r="C99" s="8">
        <v>2022</v>
      </c>
      <c r="D99" s="124" t="s">
        <v>514</v>
      </c>
      <c r="E99" s="8" t="s">
        <v>515</v>
      </c>
    </row>
    <row r="100" spans="1:6" ht="55.5" customHeight="1">
      <c r="A100" s="119">
        <v>100</v>
      </c>
      <c r="B100" s="124" t="s">
        <v>516</v>
      </c>
      <c r="C100" s="8">
        <v>2013</v>
      </c>
      <c r="D100" s="124" t="s">
        <v>517</v>
      </c>
      <c r="E100" s="8" t="s">
        <v>518</v>
      </c>
    </row>
    <row r="101" spans="1:6" ht="60" customHeight="1">
      <c r="A101" s="119">
        <v>101</v>
      </c>
      <c r="B101" s="132" t="s">
        <v>519</v>
      </c>
      <c r="C101" s="132">
        <v>2021</v>
      </c>
      <c r="D101" s="133" t="s">
        <v>520</v>
      </c>
      <c r="E101" s="35" t="s">
        <v>521</v>
      </c>
    </row>
    <row r="102" spans="1:6" ht="71.25">
      <c r="A102" s="119">
        <v>102</v>
      </c>
      <c r="B102" s="124" t="s">
        <v>522</v>
      </c>
      <c r="C102" s="8">
        <v>2021</v>
      </c>
      <c r="D102" s="124" t="s">
        <v>523</v>
      </c>
      <c r="E102" s="8" t="s">
        <v>524</v>
      </c>
    </row>
    <row r="103" spans="1:6" ht="28.5">
      <c r="A103" s="119">
        <v>103</v>
      </c>
      <c r="B103" s="124" t="s">
        <v>438</v>
      </c>
      <c r="C103" s="8">
        <v>2020</v>
      </c>
      <c r="D103" s="124" t="s">
        <v>525</v>
      </c>
      <c r="E103" s="8" t="s">
        <v>526</v>
      </c>
    </row>
    <row r="104" spans="1:6" ht="42.75">
      <c r="A104" s="119">
        <v>104</v>
      </c>
      <c r="B104" s="124" t="s">
        <v>393</v>
      </c>
      <c r="C104" s="8">
        <v>2024</v>
      </c>
      <c r="D104" s="124" t="s">
        <v>527</v>
      </c>
      <c r="E104" s="8" t="s">
        <v>528</v>
      </c>
    </row>
    <row r="105" spans="1:6" ht="42.75">
      <c r="A105" s="119">
        <v>105</v>
      </c>
      <c r="B105" s="124" t="s">
        <v>529</v>
      </c>
      <c r="C105" s="8">
        <v>2016</v>
      </c>
      <c r="D105" s="124" t="s">
        <v>530</v>
      </c>
      <c r="E105" s="8" t="s">
        <v>531</v>
      </c>
    </row>
    <row r="106" spans="1:6" ht="42.75">
      <c r="A106" s="119">
        <v>106</v>
      </c>
      <c r="B106" s="124" t="s">
        <v>529</v>
      </c>
      <c r="C106" s="8">
        <v>2024</v>
      </c>
      <c r="D106" s="124" t="s">
        <v>532</v>
      </c>
      <c r="E106" s="8" t="s">
        <v>533</v>
      </c>
    </row>
    <row r="107" spans="1:6" ht="28.5">
      <c r="A107" s="119">
        <v>107</v>
      </c>
      <c r="B107" s="124" t="s">
        <v>438</v>
      </c>
      <c r="C107" s="8">
        <v>2018</v>
      </c>
      <c r="D107" s="124" t="s">
        <v>534</v>
      </c>
      <c r="E107" s="8" t="s">
        <v>535</v>
      </c>
    </row>
    <row r="108" spans="1:6" ht="28.5">
      <c r="A108" s="119">
        <v>108</v>
      </c>
      <c r="B108" s="124" t="s">
        <v>510</v>
      </c>
      <c r="C108" s="8">
        <v>2017</v>
      </c>
      <c r="D108" s="124" t="s">
        <v>536</v>
      </c>
      <c r="E108" s="8" t="s">
        <v>537</v>
      </c>
      <c r="F108" s="335"/>
    </row>
    <row r="109" spans="1:6" ht="42.75">
      <c r="A109" s="119">
        <v>109</v>
      </c>
      <c r="B109" s="124" t="s">
        <v>538</v>
      </c>
      <c r="C109" s="8">
        <v>2022</v>
      </c>
      <c r="D109" s="124" t="s">
        <v>539</v>
      </c>
      <c r="E109" s="8" t="s">
        <v>540</v>
      </c>
    </row>
    <row r="110" spans="1:6" ht="71.25">
      <c r="A110" s="119">
        <v>110</v>
      </c>
      <c r="B110" s="124" t="s">
        <v>541</v>
      </c>
      <c r="C110" s="8">
        <v>2015</v>
      </c>
      <c r="D110" s="124" t="s">
        <v>542</v>
      </c>
      <c r="E110" s="8" t="s">
        <v>543</v>
      </c>
    </row>
    <row r="111" spans="1:6" ht="71.25">
      <c r="A111" s="119">
        <v>111</v>
      </c>
      <c r="B111" s="124" t="s">
        <v>249</v>
      </c>
      <c r="C111" s="8">
        <v>2023</v>
      </c>
      <c r="D111" s="124" t="s">
        <v>544</v>
      </c>
      <c r="E111" s="8" t="s">
        <v>545</v>
      </c>
    </row>
    <row r="112" spans="1:6" ht="57">
      <c r="A112" s="119">
        <v>112</v>
      </c>
      <c r="B112" s="124" t="s">
        <v>546</v>
      </c>
      <c r="C112" s="8">
        <v>2013</v>
      </c>
      <c r="D112" s="124" t="s">
        <v>547</v>
      </c>
      <c r="E112" s="8" t="s">
        <v>548</v>
      </c>
    </row>
    <row r="113" spans="1:5" ht="42.75">
      <c r="A113" s="119">
        <v>113</v>
      </c>
      <c r="B113" s="124" t="s">
        <v>549</v>
      </c>
      <c r="C113" s="8">
        <v>1992</v>
      </c>
      <c r="D113" s="124" t="s">
        <v>550</v>
      </c>
      <c r="E113" s="8" t="s">
        <v>551</v>
      </c>
    </row>
    <row r="114" spans="1:5" ht="42.75">
      <c r="A114" s="119">
        <v>114</v>
      </c>
      <c r="B114" s="124" t="s">
        <v>552</v>
      </c>
      <c r="C114" s="8">
        <v>2019</v>
      </c>
      <c r="D114" s="124" t="s">
        <v>553</v>
      </c>
      <c r="E114" s="8" t="s">
        <v>554</v>
      </c>
    </row>
    <row r="115" spans="1:5" ht="43.5">
      <c r="A115" s="119">
        <v>115</v>
      </c>
      <c r="B115" s="132" t="s">
        <v>555</v>
      </c>
      <c r="C115" s="132">
        <v>2020</v>
      </c>
      <c r="D115" s="133" t="s">
        <v>556</v>
      </c>
      <c r="E115" s="53" t="s">
        <v>557</v>
      </c>
    </row>
    <row r="116" spans="1:5" ht="43.5">
      <c r="A116" s="119">
        <v>116</v>
      </c>
      <c r="B116" s="132" t="s">
        <v>558</v>
      </c>
      <c r="C116" s="132">
        <v>2006</v>
      </c>
      <c r="D116" s="133" t="s">
        <v>559</v>
      </c>
      <c r="E116" s="53" t="s">
        <v>560</v>
      </c>
    </row>
    <row r="117" spans="1:5" ht="57.75">
      <c r="A117" s="119">
        <v>117</v>
      </c>
      <c r="B117" s="132" t="s">
        <v>561</v>
      </c>
      <c r="C117" s="132">
        <v>2024</v>
      </c>
      <c r="D117" s="133" t="s">
        <v>562</v>
      </c>
      <c r="E117" s="53" t="s">
        <v>563</v>
      </c>
    </row>
    <row r="118" spans="1:5" ht="72">
      <c r="A118" s="119">
        <v>118</v>
      </c>
      <c r="B118" s="132" t="s">
        <v>564</v>
      </c>
      <c r="C118" s="132">
        <v>2018</v>
      </c>
      <c r="D118" s="133" t="s">
        <v>565</v>
      </c>
      <c r="E118" s="53" t="s">
        <v>566</v>
      </c>
    </row>
    <row r="119" spans="1:5" ht="15.75" customHeight="1">
      <c r="D119" s="225"/>
    </row>
    <row r="120" spans="1:5" ht="15.75" customHeight="1">
      <c r="D120" s="225"/>
    </row>
    <row r="121" spans="1:5" ht="15.75" customHeight="1">
      <c r="D121" s="225"/>
    </row>
    <row r="122" spans="1:5" ht="15.75" customHeight="1">
      <c r="D122" s="225"/>
    </row>
    <row r="123" spans="1:5" ht="15.75" customHeight="1">
      <c r="D123" s="225"/>
    </row>
    <row r="124" spans="1:5" ht="15.75" customHeight="1">
      <c r="D124" s="225"/>
    </row>
    <row r="125" spans="1:5" ht="15.75" customHeight="1">
      <c r="D125" s="225"/>
    </row>
    <row r="126" spans="1:5" ht="15.75" customHeight="1">
      <c r="D126" s="225"/>
    </row>
    <row r="127" spans="1:5" ht="15.75" customHeight="1">
      <c r="D127" s="225"/>
    </row>
    <row r="128" spans="1:5" ht="15.75" customHeight="1">
      <c r="D128" s="225"/>
    </row>
    <row r="129" spans="4:4" ht="15.75" customHeight="1">
      <c r="D129" s="225"/>
    </row>
    <row r="130" spans="4:4" ht="15.75" customHeight="1">
      <c r="D130" s="225"/>
    </row>
    <row r="131" spans="4:4" ht="15.75" customHeight="1">
      <c r="D131" s="225"/>
    </row>
    <row r="132" spans="4:4" ht="15.75" customHeight="1">
      <c r="D132" s="225"/>
    </row>
    <row r="133" spans="4:4" ht="15.75" customHeight="1">
      <c r="D133" s="225"/>
    </row>
    <row r="134" spans="4:4" ht="15.75" customHeight="1">
      <c r="D134" s="225"/>
    </row>
    <row r="135" spans="4:4" ht="15.75" customHeight="1">
      <c r="D135" s="225"/>
    </row>
    <row r="136" spans="4:4" ht="15.75" customHeight="1">
      <c r="D136" s="225"/>
    </row>
    <row r="137" spans="4:4" ht="15.75" customHeight="1">
      <c r="D137" s="225"/>
    </row>
    <row r="138" spans="4:4" ht="15.75" customHeight="1">
      <c r="D138" s="225"/>
    </row>
    <row r="139" spans="4:4" ht="15.75" customHeight="1">
      <c r="D139" s="225"/>
    </row>
    <row r="140" spans="4:4" ht="15.75" customHeight="1">
      <c r="D140" s="225"/>
    </row>
    <row r="141" spans="4:4" ht="15.75" customHeight="1">
      <c r="D141" s="225"/>
    </row>
    <row r="142" spans="4:4" ht="15.75" customHeight="1">
      <c r="D142" s="225"/>
    </row>
    <row r="143" spans="4:4" ht="15.75" customHeight="1">
      <c r="D143" s="225"/>
    </row>
    <row r="144" spans="4:4" ht="15.75" customHeight="1">
      <c r="D144" s="225"/>
    </row>
    <row r="145" spans="4:4" ht="15.75" customHeight="1">
      <c r="D145" s="225"/>
    </row>
    <row r="146" spans="4:4" ht="15.75" customHeight="1">
      <c r="D146" s="225"/>
    </row>
    <row r="147" spans="4:4" ht="15.75" customHeight="1">
      <c r="D147" s="225"/>
    </row>
    <row r="148" spans="4:4" ht="15.75" customHeight="1">
      <c r="D148" s="225"/>
    </row>
    <row r="149" spans="4:4" ht="15.75" customHeight="1">
      <c r="D149" s="225"/>
    </row>
    <row r="150" spans="4:4" ht="15.75" customHeight="1">
      <c r="D150" s="225"/>
    </row>
    <row r="151" spans="4:4" ht="15.75" customHeight="1">
      <c r="D151" s="225"/>
    </row>
    <row r="152" spans="4:4" ht="15.75" customHeight="1">
      <c r="D152" s="225"/>
    </row>
    <row r="153" spans="4:4" ht="15.75" customHeight="1">
      <c r="D153" s="225"/>
    </row>
    <row r="154" spans="4:4" ht="15.75" customHeight="1">
      <c r="D154" s="225"/>
    </row>
    <row r="155" spans="4:4" ht="15.75" customHeight="1">
      <c r="D155" s="225"/>
    </row>
    <row r="156" spans="4:4" ht="15.75" customHeight="1">
      <c r="D156" s="225"/>
    </row>
    <row r="157" spans="4:4" ht="15.75" customHeight="1">
      <c r="D157" s="225"/>
    </row>
    <row r="158" spans="4:4" ht="15.75" customHeight="1">
      <c r="D158" s="225"/>
    </row>
    <row r="159" spans="4:4" ht="15.75" customHeight="1">
      <c r="D159" s="225"/>
    </row>
    <row r="160" spans="4:4" ht="15.75" customHeight="1">
      <c r="D160" s="225"/>
    </row>
    <row r="161" spans="4:4" ht="15.75" customHeight="1">
      <c r="D161" s="225"/>
    </row>
    <row r="162" spans="4:4" ht="15.75" customHeight="1">
      <c r="D162" s="225"/>
    </row>
    <row r="163" spans="4:4" ht="15.75" customHeight="1">
      <c r="D163" s="225"/>
    </row>
    <row r="164" spans="4:4" ht="15.75" customHeight="1">
      <c r="D164" s="225"/>
    </row>
    <row r="165" spans="4:4" ht="15.75" customHeight="1">
      <c r="D165" s="225"/>
    </row>
    <row r="166" spans="4:4" ht="15.75" customHeight="1">
      <c r="D166" s="225"/>
    </row>
    <row r="167" spans="4:4" ht="15.75" customHeight="1">
      <c r="D167" s="225"/>
    </row>
    <row r="168" spans="4:4" ht="15.75" customHeight="1">
      <c r="D168" s="225"/>
    </row>
    <row r="169" spans="4:4" ht="15.75" customHeight="1">
      <c r="D169" s="225"/>
    </row>
    <row r="170" spans="4:4" ht="15.75" customHeight="1">
      <c r="D170" s="225"/>
    </row>
    <row r="171" spans="4:4" ht="15.75" customHeight="1">
      <c r="D171" s="225"/>
    </row>
    <row r="172" spans="4:4" ht="15.75" customHeight="1">
      <c r="D172" s="225"/>
    </row>
    <row r="173" spans="4:4" ht="15.75" customHeight="1">
      <c r="D173" s="225"/>
    </row>
    <row r="174" spans="4:4" ht="15.75" customHeight="1">
      <c r="D174" s="225"/>
    </row>
    <row r="175" spans="4:4" ht="15.75" customHeight="1">
      <c r="D175" s="225"/>
    </row>
    <row r="176" spans="4:4" ht="15.75" customHeight="1">
      <c r="D176" s="225"/>
    </row>
    <row r="177" spans="4:4" ht="15.75" customHeight="1">
      <c r="D177" s="225"/>
    </row>
    <row r="178" spans="4:4" ht="15.75" customHeight="1">
      <c r="D178" s="225"/>
    </row>
    <row r="179" spans="4:4" ht="15.75" customHeight="1">
      <c r="D179" s="225"/>
    </row>
    <row r="180" spans="4:4" ht="15.75" customHeight="1">
      <c r="D180" s="225"/>
    </row>
    <row r="181" spans="4:4" ht="15.75" customHeight="1">
      <c r="D181" s="225"/>
    </row>
    <row r="182" spans="4:4" ht="15.75" customHeight="1">
      <c r="D182" s="225"/>
    </row>
    <row r="183" spans="4:4" ht="15.75" customHeight="1">
      <c r="D183" s="225"/>
    </row>
    <row r="184" spans="4:4" ht="15.75" customHeight="1">
      <c r="D184" s="225"/>
    </row>
    <row r="185" spans="4:4" ht="15.75" customHeight="1">
      <c r="D185" s="225"/>
    </row>
    <row r="186" spans="4:4" ht="15.75" customHeight="1">
      <c r="D186" s="225"/>
    </row>
    <row r="187" spans="4:4" ht="15.75" customHeight="1">
      <c r="D187" s="225"/>
    </row>
    <row r="188" spans="4:4" ht="15.75" customHeight="1">
      <c r="D188" s="225"/>
    </row>
    <row r="189" spans="4:4" ht="15.75" customHeight="1">
      <c r="D189" s="225"/>
    </row>
    <row r="190" spans="4:4" ht="15.75" customHeight="1">
      <c r="D190" s="225"/>
    </row>
    <row r="191" spans="4:4" ht="15.75" customHeight="1">
      <c r="D191" s="225"/>
    </row>
    <row r="192" spans="4:4" ht="15.75" customHeight="1">
      <c r="D192" s="225"/>
    </row>
    <row r="193" spans="4:4" ht="15.75" customHeight="1">
      <c r="D193" s="225"/>
    </row>
    <row r="194" spans="4:4" ht="15.75" customHeight="1">
      <c r="D194" s="225"/>
    </row>
    <row r="195" spans="4:4" ht="15.75" customHeight="1">
      <c r="D195" s="225"/>
    </row>
    <row r="196" spans="4:4" ht="15.75" customHeight="1">
      <c r="D196" s="225"/>
    </row>
    <row r="197" spans="4:4" ht="15.75" customHeight="1">
      <c r="D197" s="225"/>
    </row>
    <row r="198" spans="4:4" ht="15.75" customHeight="1">
      <c r="D198" s="225"/>
    </row>
    <row r="199" spans="4:4" ht="15.75" customHeight="1">
      <c r="D199" s="225"/>
    </row>
    <row r="200" spans="4:4" ht="15.75" customHeight="1">
      <c r="D200" s="225"/>
    </row>
    <row r="201" spans="4:4" ht="15.75" customHeight="1">
      <c r="D201" s="225"/>
    </row>
    <row r="202" spans="4:4" ht="15.75" customHeight="1">
      <c r="D202" s="225"/>
    </row>
    <row r="203" spans="4:4" ht="15.75" customHeight="1">
      <c r="D203" s="225"/>
    </row>
    <row r="204" spans="4:4" ht="15.75" customHeight="1">
      <c r="D204" s="225"/>
    </row>
    <row r="205" spans="4:4" ht="15.75" customHeight="1">
      <c r="D205" s="225"/>
    </row>
    <row r="206" spans="4:4" ht="15.75" customHeight="1">
      <c r="D206" s="225"/>
    </row>
    <row r="207" spans="4:4" ht="15.75" customHeight="1">
      <c r="D207" s="225"/>
    </row>
    <row r="208" spans="4:4" ht="15.75" customHeight="1">
      <c r="D208" s="225"/>
    </row>
    <row r="209" spans="4:4" ht="15.75" customHeight="1">
      <c r="D209" s="225"/>
    </row>
    <row r="210" spans="4:4" ht="15.75" customHeight="1">
      <c r="D210" s="225"/>
    </row>
    <row r="211" spans="4:4" ht="15.75" customHeight="1">
      <c r="D211" s="225"/>
    </row>
    <row r="212" spans="4:4" ht="15.75" customHeight="1">
      <c r="D212" s="225"/>
    </row>
    <row r="213" spans="4:4" ht="15.75" customHeight="1">
      <c r="D213" s="225"/>
    </row>
    <row r="214" spans="4:4" ht="15.75" customHeight="1">
      <c r="D214" s="225"/>
    </row>
    <row r="215" spans="4:4" ht="15.75" customHeight="1">
      <c r="D215" s="225"/>
    </row>
    <row r="216" spans="4:4" ht="15.75" customHeight="1">
      <c r="D216" s="225"/>
    </row>
    <row r="217" spans="4:4" ht="15.75" customHeight="1">
      <c r="D217" s="225"/>
    </row>
    <row r="218" spans="4:4" ht="15.75" customHeight="1">
      <c r="D218" s="225"/>
    </row>
    <row r="219" spans="4:4" ht="15.75" customHeight="1">
      <c r="D219" s="225"/>
    </row>
    <row r="220" spans="4:4" ht="15.75" customHeight="1">
      <c r="D220" s="225"/>
    </row>
    <row r="221" spans="4:4" ht="15.75" customHeight="1">
      <c r="D221" s="225"/>
    </row>
    <row r="222" spans="4:4" ht="15.75" customHeight="1">
      <c r="D222" s="225"/>
    </row>
    <row r="223" spans="4:4" ht="15.75" customHeight="1">
      <c r="D223" s="225"/>
    </row>
    <row r="224" spans="4:4" ht="15.75" customHeight="1">
      <c r="D224" s="225"/>
    </row>
    <row r="225" spans="4:4" ht="15.75" customHeight="1">
      <c r="D225" s="225"/>
    </row>
    <row r="226" spans="4:4" ht="15.75" customHeight="1">
      <c r="D226" s="225"/>
    </row>
    <row r="227" spans="4:4" ht="15.75" customHeight="1">
      <c r="D227" s="225"/>
    </row>
    <row r="228" spans="4:4" ht="15.75" customHeight="1">
      <c r="D228" s="225"/>
    </row>
    <row r="229" spans="4:4" ht="15.75" customHeight="1">
      <c r="D229" s="225"/>
    </row>
    <row r="230" spans="4:4" ht="15.75" customHeight="1">
      <c r="D230" s="225"/>
    </row>
    <row r="231" spans="4:4" ht="15.75" customHeight="1">
      <c r="D231" s="225"/>
    </row>
    <row r="232" spans="4:4" ht="15.75" customHeight="1">
      <c r="D232" s="225"/>
    </row>
    <row r="233" spans="4:4" ht="15.75" customHeight="1">
      <c r="D233" s="225"/>
    </row>
    <row r="234" spans="4:4" ht="15.75" customHeight="1">
      <c r="D234" s="225"/>
    </row>
    <row r="235" spans="4:4" ht="15.75" customHeight="1">
      <c r="D235" s="225"/>
    </row>
    <row r="236" spans="4:4" ht="15.75" customHeight="1">
      <c r="D236" s="225"/>
    </row>
    <row r="237" spans="4:4" ht="15.75" customHeight="1">
      <c r="D237" s="225"/>
    </row>
    <row r="238" spans="4:4" ht="15.75" customHeight="1">
      <c r="D238" s="225"/>
    </row>
    <row r="239" spans="4:4" ht="15.75" customHeight="1">
      <c r="D239" s="225"/>
    </row>
    <row r="240" spans="4:4" ht="15.75" customHeight="1">
      <c r="D240" s="225"/>
    </row>
    <row r="241" spans="4:4" ht="15.75" customHeight="1">
      <c r="D241" s="225"/>
    </row>
    <row r="242" spans="4:4" ht="15.75" customHeight="1">
      <c r="D242" s="225"/>
    </row>
    <row r="243" spans="4:4" ht="15.75" customHeight="1">
      <c r="D243" s="225"/>
    </row>
    <row r="244" spans="4:4" ht="15.75" customHeight="1">
      <c r="D244" s="225"/>
    </row>
    <row r="245" spans="4:4" ht="15.75" customHeight="1">
      <c r="D245" s="225"/>
    </row>
    <row r="246" spans="4:4" ht="15.75" customHeight="1">
      <c r="D246" s="225"/>
    </row>
    <row r="247" spans="4:4" ht="15.75" customHeight="1">
      <c r="D247" s="225"/>
    </row>
    <row r="248" spans="4:4" ht="15.75" customHeight="1">
      <c r="D248" s="225"/>
    </row>
    <row r="249" spans="4:4" ht="15.75" customHeight="1">
      <c r="D249" s="225"/>
    </row>
    <row r="250" spans="4:4" ht="15.75" customHeight="1">
      <c r="D250" s="225"/>
    </row>
    <row r="251" spans="4:4" ht="15.75" customHeight="1">
      <c r="D251" s="225"/>
    </row>
    <row r="252" spans="4:4" ht="15.75" customHeight="1">
      <c r="D252" s="225"/>
    </row>
    <row r="253" spans="4:4" ht="15.75" customHeight="1">
      <c r="D253" s="225"/>
    </row>
    <row r="254" spans="4:4" ht="15.75" customHeight="1">
      <c r="D254" s="225"/>
    </row>
    <row r="255" spans="4:4" ht="15.75" customHeight="1">
      <c r="D255" s="225"/>
    </row>
    <row r="256" spans="4:4" ht="15.75" customHeight="1">
      <c r="D256" s="225"/>
    </row>
    <row r="257" spans="4:4" ht="15.75" customHeight="1">
      <c r="D257" s="225"/>
    </row>
    <row r="258" spans="4:4" ht="15.75" customHeight="1">
      <c r="D258" s="225"/>
    </row>
    <row r="259" spans="4:4" ht="15.75" customHeight="1">
      <c r="D259" s="225"/>
    </row>
    <row r="260" spans="4:4" ht="15.75" customHeight="1">
      <c r="D260" s="225"/>
    </row>
    <row r="261" spans="4:4" ht="15.75" customHeight="1">
      <c r="D261" s="225"/>
    </row>
    <row r="262" spans="4:4" ht="15.75" customHeight="1">
      <c r="D262" s="225"/>
    </row>
    <row r="263" spans="4:4" ht="15.75" customHeight="1">
      <c r="D263" s="225"/>
    </row>
    <row r="264" spans="4:4" ht="15.75" customHeight="1">
      <c r="D264" s="225"/>
    </row>
    <row r="265" spans="4:4" ht="15.75" customHeight="1">
      <c r="D265" s="225"/>
    </row>
    <row r="266" spans="4:4" ht="15.75" customHeight="1">
      <c r="D266" s="225"/>
    </row>
    <row r="267" spans="4:4" ht="15.75" customHeight="1">
      <c r="D267" s="225"/>
    </row>
    <row r="268" spans="4:4" ht="15.75" customHeight="1">
      <c r="D268" s="225"/>
    </row>
    <row r="269" spans="4:4" ht="15.75" customHeight="1">
      <c r="D269" s="225"/>
    </row>
    <row r="270" spans="4:4" ht="15.75" customHeight="1">
      <c r="D270" s="225"/>
    </row>
    <row r="271" spans="4:4" ht="15.75" customHeight="1">
      <c r="D271" s="225"/>
    </row>
    <row r="272" spans="4:4" ht="15.75" customHeight="1">
      <c r="D272" s="225"/>
    </row>
    <row r="273" spans="4:4" ht="15.75" customHeight="1">
      <c r="D273" s="225"/>
    </row>
    <row r="274" spans="4:4" ht="15.75" customHeight="1">
      <c r="D274" s="225"/>
    </row>
    <row r="275" spans="4:4" ht="15.75" customHeight="1">
      <c r="D275" s="225"/>
    </row>
    <row r="276" spans="4:4" ht="15.75" customHeight="1">
      <c r="D276" s="225"/>
    </row>
    <row r="277" spans="4:4" ht="15.75" customHeight="1">
      <c r="D277" s="225"/>
    </row>
    <row r="278" spans="4:4" ht="15.75" customHeight="1">
      <c r="D278" s="225"/>
    </row>
    <row r="279" spans="4:4" ht="15.75" customHeight="1">
      <c r="D279" s="225"/>
    </row>
    <row r="280" spans="4:4" ht="15.75" customHeight="1">
      <c r="D280" s="225"/>
    </row>
    <row r="281" spans="4:4" ht="15.75" customHeight="1">
      <c r="D281" s="225"/>
    </row>
    <row r="282" spans="4:4" ht="15.75" customHeight="1">
      <c r="D282" s="225"/>
    </row>
    <row r="283" spans="4:4" ht="15.75" customHeight="1">
      <c r="D283" s="225"/>
    </row>
    <row r="284" spans="4:4" ht="15.75" customHeight="1">
      <c r="D284" s="225"/>
    </row>
    <row r="285" spans="4:4" ht="15.75" customHeight="1">
      <c r="D285" s="225"/>
    </row>
    <row r="286" spans="4:4" ht="15.75" customHeight="1">
      <c r="D286" s="225"/>
    </row>
    <row r="287" spans="4:4" ht="15.75" customHeight="1">
      <c r="D287" s="225"/>
    </row>
    <row r="288" spans="4:4" ht="15.75" customHeight="1">
      <c r="D288" s="225"/>
    </row>
    <row r="289" spans="4:4" ht="15.75" customHeight="1">
      <c r="D289" s="225"/>
    </row>
    <row r="290" spans="4:4" ht="15.75" customHeight="1">
      <c r="D290" s="225"/>
    </row>
    <row r="291" spans="4:4" ht="15.75" customHeight="1">
      <c r="D291" s="225"/>
    </row>
    <row r="292" spans="4:4" ht="15.75" customHeight="1">
      <c r="D292" s="225"/>
    </row>
    <row r="293" spans="4:4" ht="15.75" customHeight="1">
      <c r="D293" s="225"/>
    </row>
    <row r="294" spans="4:4" ht="15.75" customHeight="1">
      <c r="D294" s="225"/>
    </row>
    <row r="295" spans="4:4" ht="15.75" customHeight="1">
      <c r="D295" s="225"/>
    </row>
    <row r="296" spans="4:4" ht="15.75" customHeight="1">
      <c r="D296" s="225"/>
    </row>
    <row r="297" spans="4:4" ht="15.75" customHeight="1">
      <c r="D297" s="225"/>
    </row>
    <row r="298" spans="4:4" ht="15.75" customHeight="1">
      <c r="D298" s="225"/>
    </row>
    <row r="299" spans="4:4" ht="15.75" customHeight="1">
      <c r="D299" s="225"/>
    </row>
    <row r="300" spans="4:4" ht="15.75" customHeight="1">
      <c r="D300" s="225"/>
    </row>
    <row r="301" spans="4:4" ht="15.75" customHeight="1">
      <c r="D301" s="225"/>
    </row>
    <row r="302" spans="4:4" ht="15.75" customHeight="1">
      <c r="D302" s="225"/>
    </row>
    <row r="303" spans="4:4" ht="15.75" customHeight="1">
      <c r="D303" s="225"/>
    </row>
    <row r="304" spans="4:4" ht="15.75" customHeight="1">
      <c r="D304" s="225"/>
    </row>
    <row r="305" spans="4:4" ht="15.75" customHeight="1">
      <c r="D305" s="225"/>
    </row>
    <row r="306" spans="4:4" ht="15.75" customHeight="1">
      <c r="D306" s="225"/>
    </row>
    <row r="307" spans="4:4" ht="15.75" customHeight="1">
      <c r="D307" s="225"/>
    </row>
    <row r="308" spans="4:4" ht="15.75" customHeight="1">
      <c r="D308" s="225"/>
    </row>
    <row r="309" spans="4:4" ht="15.75" customHeight="1">
      <c r="D309" s="225"/>
    </row>
    <row r="310" spans="4:4" ht="15.75" customHeight="1">
      <c r="D310" s="225"/>
    </row>
    <row r="311" spans="4:4" ht="15.75" customHeight="1">
      <c r="D311" s="225"/>
    </row>
    <row r="312" spans="4:4" ht="15.75" customHeight="1">
      <c r="D312" s="225"/>
    </row>
    <row r="313" spans="4:4" ht="15.75" customHeight="1">
      <c r="D313" s="225"/>
    </row>
    <row r="314" spans="4:4" ht="15.75" customHeight="1">
      <c r="D314" s="225"/>
    </row>
    <row r="315" spans="4:4" ht="15.75" customHeight="1">
      <c r="D315" s="225"/>
    </row>
    <row r="316" spans="4:4" ht="15.75" customHeight="1">
      <c r="D316" s="225"/>
    </row>
    <row r="317" spans="4:4" ht="15.75" customHeight="1">
      <c r="D317" s="225"/>
    </row>
    <row r="318" spans="4:4" ht="15.75" customHeight="1">
      <c r="D318" s="225"/>
    </row>
    <row r="319" spans="4:4" ht="15.75" customHeight="1">
      <c r="D319" s="225"/>
    </row>
    <row r="320" spans="4:4" ht="15.75" customHeight="1">
      <c r="D320" s="225"/>
    </row>
    <row r="321" spans="4:4" ht="15.75" customHeight="1">
      <c r="D321" s="225"/>
    </row>
    <row r="322" spans="4:4" ht="15.75" customHeight="1">
      <c r="D322" s="225"/>
    </row>
    <row r="323" spans="4:4" ht="15.75" customHeight="1">
      <c r="D323" s="225"/>
    </row>
    <row r="324" spans="4:4" ht="15.75" customHeight="1">
      <c r="D324" s="225"/>
    </row>
    <row r="325" spans="4:4" ht="15.75" customHeight="1">
      <c r="D325" s="225"/>
    </row>
    <row r="326" spans="4:4" ht="15.75" customHeight="1">
      <c r="D326" s="225"/>
    </row>
    <row r="327" spans="4:4" ht="15.75" customHeight="1">
      <c r="D327" s="225"/>
    </row>
    <row r="328" spans="4:4" ht="15.75" customHeight="1">
      <c r="D328" s="225"/>
    </row>
    <row r="329" spans="4:4" ht="15.75" customHeight="1">
      <c r="D329" s="225"/>
    </row>
    <row r="330" spans="4:4" ht="15.75" customHeight="1">
      <c r="D330" s="225"/>
    </row>
    <row r="331" spans="4:4" ht="15.75" customHeight="1">
      <c r="D331" s="225"/>
    </row>
    <row r="332" spans="4:4" ht="15.75" customHeight="1">
      <c r="D332" s="225"/>
    </row>
    <row r="333" spans="4:4" ht="15.75" customHeight="1">
      <c r="D333" s="225"/>
    </row>
    <row r="334" spans="4:4" ht="15.75" customHeight="1">
      <c r="D334" s="225"/>
    </row>
    <row r="335" spans="4:4" ht="15.75" customHeight="1">
      <c r="D335" s="225"/>
    </row>
    <row r="336" spans="4:4" ht="15.75" customHeight="1">
      <c r="D336" s="225"/>
    </row>
    <row r="337" spans="4:4" ht="15.75" customHeight="1">
      <c r="D337" s="225"/>
    </row>
    <row r="338" spans="4:4" ht="15.75" customHeight="1">
      <c r="D338" s="225"/>
    </row>
    <row r="339" spans="4:4" ht="15.75" customHeight="1">
      <c r="D339" s="225"/>
    </row>
    <row r="340" spans="4:4" ht="15.75" customHeight="1">
      <c r="D340" s="225"/>
    </row>
    <row r="341" spans="4:4" ht="15.75" customHeight="1">
      <c r="D341" s="225"/>
    </row>
    <row r="342" spans="4:4" ht="15.75" customHeight="1">
      <c r="D342" s="225"/>
    </row>
    <row r="343" spans="4:4" ht="15.75" customHeight="1">
      <c r="D343" s="225"/>
    </row>
    <row r="344" spans="4:4" ht="15.75" customHeight="1">
      <c r="D344" s="225"/>
    </row>
    <row r="345" spans="4:4" ht="15.75" customHeight="1">
      <c r="D345" s="225"/>
    </row>
    <row r="346" spans="4:4" ht="15.75" customHeight="1">
      <c r="D346" s="225"/>
    </row>
    <row r="347" spans="4:4" ht="15.75" customHeight="1">
      <c r="D347" s="225"/>
    </row>
    <row r="348" spans="4:4" ht="15.75" customHeight="1">
      <c r="D348" s="225"/>
    </row>
    <row r="349" spans="4:4" ht="15.75" customHeight="1">
      <c r="D349" s="225"/>
    </row>
    <row r="350" spans="4:4" ht="15.75" customHeight="1">
      <c r="D350" s="225"/>
    </row>
    <row r="351" spans="4:4" ht="15.75" customHeight="1">
      <c r="D351" s="225"/>
    </row>
    <row r="352" spans="4:4" ht="15.75" customHeight="1">
      <c r="D352" s="225"/>
    </row>
    <row r="353" spans="4:4" ht="15.75" customHeight="1">
      <c r="D353" s="225"/>
    </row>
    <row r="354" spans="4:4" ht="15.75" customHeight="1">
      <c r="D354" s="225"/>
    </row>
    <row r="355" spans="4:4" ht="15.75" customHeight="1">
      <c r="D355" s="225"/>
    </row>
    <row r="356" spans="4:4" ht="15.75" customHeight="1">
      <c r="D356" s="225"/>
    </row>
    <row r="357" spans="4:4" ht="15.75" customHeight="1">
      <c r="D357" s="225"/>
    </row>
    <row r="358" spans="4:4" ht="15.75" customHeight="1">
      <c r="D358" s="225"/>
    </row>
    <row r="359" spans="4:4" ht="15.75" customHeight="1">
      <c r="D359" s="225"/>
    </row>
    <row r="360" spans="4:4" ht="15.75" customHeight="1">
      <c r="D360" s="225"/>
    </row>
    <row r="361" spans="4:4" ht="15.75" customHeight="1">
      <c r="D361" s="225"/>
    </row>
    <row r="362" spans="4:4" ht="15.75" customHeight="1">
      <c r="D362" s="225"/>
    </row>
    <row r="363" spans="4:4" ht="15.75" customHeight="1">
      <c r="D363" s="225"/>
    </row>
    <row r="364" spans="4:4" ht="15.75" customHeight="1">
      <c r="D364" s="225"/>
    </row>
    <row r="365" spans="4:4" ht="15.75" customHeight="1">
      <c r="D365" s="225"/>
    </row>
    <row r="366" spans="4:4" ht="15.75" customHeight="1">
      <c r="D366" s="225"/>
    </row>
    <row r="367" spans="4:4" ht="15.75" customHeight="1">
      <c r="D367" s="225"/>
    </row>
    <row r="368" spans="4:4" ht="15.75" customHeight="1">
      <c r="D368" s="225"/>
    </row>
    <row r="369" spans="4:4" ht="15.75" customHeight="1">
      <c r="D369" s="225"/>
    </row>
    <row r="370" spans="4:4" ht="15.75" customHeight="1">
      <c r="D370" s="225"/>
    </row>
    <row r="371" spans="4:4" ht="15.75" customHeight="1">
      <c r="D371" s="225"/>
    </row>
    <row r="372" spans="4:4" ht="15.75" customHeight="1">
      <c r="D372" s="225"/>
    </row>
    <row r="373" spans="4:4" ht="15.75" customHeight="1">
      <c r="D373" s="225"/>
    </row>
    <row r="374" spans="4:4" ht="15.75" customHeight="1">
      <c r="D374" s="225"/>
    </row>
    <row r="375" spans="4:4" ht="15.75" customHeight="1">
      <c r="D375" s="225"/>
    </row>
    <row r="376" spans="4:4" ht="15.75" customHeight="1">
      <c r="D376" s="225"/>
    </row>
    <row r="377" spans="4:4" ht="15.75" customHeight="1">
      <c r="D377" s="225"/>
    </row>
    <row r="378" spans="4:4" ht="15.75" customHeight="1">
      <c r="D378" s="225"/>
    </row>
    <row r="379" spans="4:4" ht="15.75" customHeight="1">
      <c r="D379" s="225"/>
    </row>
    <row r="380" spans="4:4" ht="15.75" customHeight="1">
      <c r="D380" s="225"/>
    </row>
    <row r="381" spans="4:4" ht="15.75" customHeight="1">
      <c r="D381" s="225"/>
    </row>
    <row r="382" spans="4:4" ht="15.75" customHeight="1">
      <c r="D382" s="225"/>
    </row>
    <row r="383" spans="4:4" ht="15.75" customHeight="1">
      <c r="D383" s="225"/>
    </row>
    <row r="384" spans="4:4" ht="15.75" customHeight="1">
      <c r="D384" s="225"/>
    </row>
    <row r="385" spans="4:4" ht="15.75" customHeight="1">
      <c r="D385" s="225"/>
    </row>
    <row r="386" spans="4:4" ht="15.75" customHeight="1">
      <c r="D386" s="225"/>
    </row>
    <row r="387" spans="4:4" ht="15.75" customHeight="1">
      <c r="D387" s="225"/>
    </row>
    <row r="388" spans="4:4" ht="15.75" customHeight="1">
      <c r="D388" s="225"/>
    </row>
    <row r="389" spans="4:4" ht="15.75" customHeight="1">
      <c r="D389" s="225"/>
    </row>
    <row r="390" spans="4:4" ht="15.75" customHeight="1">
      <c r="D390" s="225"/>
    </row>
    <row r="391" spans="4:4" ht="15.75" customHeight="1">
      <c r="D391" s="225"/>
    </row>
    <row r="392" spans="4:4" ht="15.75" customHeight="1">
      <c r="D392" s="225"/>
    </row>
    <row r="393" spans="4:4" ht="15.75" customHeight="1">
      <c r="D393" s="225"/>
    </row>
    <row r="394" spans="4:4" ht="15.75" customHeight="1">
      <c r="D394" s="225"/>
    </row>
    <row r="395" spans="4:4" ht="15.75" customHeight="1">
      <c r="D395" s="225"/>
    </row>
    <row r="396" spans="4:4" ht="15.75" customHeight="1">
      <c r="D396" s="225"/>
    </row>
    <row r="397" spans="4:4" ht="15.75" customHeight="1">
      <c r="D397" s="225"/>
    </row>
    <row r="398" spans="4:4" ht="15.75" customHeight="1">
      <c r="D398" s="225"/>
    </row>
    <row r="399" spans="4:4" ht="15.75" customHeight="1">
      <c r="D399" s="225"/>
    </row>
    <row r="400" spans="4:4" ht="15.75" customHeight="1">
      <c r="D400" s="225"/>
    </row>
    <row r="401" spans="4:4" ht="15.75" customHeight="1">
      <c r="D401" s="225"/>
    </row>
    <row r="402" spans="4:4" ht="15.75" customHeight="1">
      <c r="D402" s="225"/>
    </row>
    <row r="403" spans="4:4" ht="15.75" customHeight="1">
      <c r="D403" s="225"/>
    </row>
    <row r="404" spans="4:4" ht="15.75" customHeight="1">
      <c r="D404" s="225"/>
    </row>
    <row r="405" spans="4:4" ht="15.75" customHeight="1">
      <c r="D405" s="225"/>
    </row>
    <row r="406" spans="4:4" ht="15.75" customHeight="1">
      <c r="D406" s="225"/>
    </row>
    <row r="407" spans="4:4" ht="15.75" customHeight="1">
      <c r="D407" s="225"/>
    </row>
    <row r="408" spans="4:4" ht="15.75" customHeight="1">
      <c r="D408" s="225"/>
    </row>
    <row r="409" spans="4:4" ht="15.75" customHeight="1">
      <c r="D409" s="225"/>
    </row>
    <row r="410" spans="4:4" ht="15.75" customHeight="1">
      <c r="D410" s="225"/>
    </row>
    <row r="411" spans="4:4" ht="15.75" customHeight="1">
      <c r="D411" s="225"/>
    </row>
    <row r="412" spans="4:4" ht="15.75" customHeight="1">
      <c r="D412" s="225"/>
    </row>
    <row r="413" spans="4:4" ht="15.75" customHeight="1">
      <c r="D413" s="225"/>
    </row>
    <row r="414" spans="4:4" ht="15.75" customHeight="1">
      <c r="D414" s="225"/>
    </row>
    <row r="415" spans="4:4" ht="15.75" customHeight="1">
      <c r="D415" s="225"/>
    </row>
    <row r="416" spans="4:4" ht="15.75" customHeight="1">
      <c r="D416" s="225"/>
    </row>
    <row r="417" spans="4:4" ht="15.75" customHeight="1">
      <c r="D417" s="225"/>
    </row>
    <row r="418" spans="4:4" ht="15.75" customHeight="1">
      <c r="D418" s="225"/>
    </row>
    <row r="419" spans="4:4" ht="15.75" customHeight="1">
      <c r="D419" s="225"/>
    </row>
    <row r="420" spans="4:4" ht="15.75" customHeight="1">
      <c r="D420" s="225"/>
    </row>
    <row r="421" spans="4:4" ht="15.75" customHeight="1">
      <c r="D421" s="225"/>
    </row>
    <row r="422" spans="4:4" ht="15.75" customHeight="1">
      <c r="D422" s="225"/>
    </row>
    <row r="423" spans="4:4" ht="15.75" customHeight="1">
      <c r="D423" s="225"/>
    </row>
    <row r="424" spans="4:4" ht="15.75" customHeight="1">
      <c r="D424" s="225"/>
    </row>
    <row r="425" spans="4:4" ht="15.75" customHeight="1">
      <c r="D425" s="225"/>
    </row>
    <row r="426" spans="4:4" ht="15.75" customHeight="1">
      <c r="D426" s="225"/>
    </row>
    <row r="427" spans="4:4" ht="15.75" customHeight="1">
      <c r="D427" s="225"/>
    </row>
    <row r="428" spans="4:4" ht="15.75" customHeight="1">
      <c r="D428" s="225"/>
    </row>
    <row r="429" spans="4:4" ht="15.75" customHeight="1">
      <c r="D429" s="225"/>
    </row>
    <row r="430" spans="4:4" ht="15.75" customHeight="1">
      <c r="D430" s="225"/>
    </row>
    <row r="431" spans="4:4" ht="15.75" customHeight="1">
      <c r="D431" s="225"/>
    </row>
    <row r="432" spans="4:4" ht="15.75" customHeight="1">
      <c r="D432" s="225"/>
    </row>
    <row r="433" spans="4:4" ht="15.75" customHeight="1">
      <c r="D433" s="225"/>
    </row>
    <row r="434" spans="4:4" ht="15.75" customHeight="1">
      <c r="D434" s="225"/>
    </row>
    <row r="435" spans="4:4" ht="15.75" customHeight="1">
      <c r="D435" s="225"/>
    </row>
    <row r="436" spans="4:4" ht="15.75" customHeight="1">
      <c r="D436" s="225"/>
    </row>
    <row r="437" spans="4:4" ht="15.75" customHeight="1">
      <c r="D437" s="225"/>
    </row>
    <row r="438" spans="4:4" ht="15.75" customHeight="1">
      <c r="D438" s="225"/>
    </row>
    <row r="439" spans="4:4" ht="15.75" customHeight="1">
      <c r="D439" s="225"/>
    </row>
    <row r="440" spans="4:4" ht="15.75" customHeight="1">
      <c r="D440" s="225"/>
    </row>
    <row r="441" spans="4:4" ht="15.75" customHeight="1">
      <c r="D441" s="225"/>
    </row>
    <row r="442" spans="4:4" ht="15.75" customHeight="1">
      <c r="D442" s="225"/>
    </row>
    <row r="443" spans="4:4" ht="15.75" customHeight="1">
      <c r="D443" s="225"/>
    </row>
    <row r="444" spans="4:4" ht="15.75" customHeight="1">
      <c r="D444" s="225"/>
    </row>
    <row r="445" spans="4:4" ht="15.75" customHeight="1">
      <c r="D445" s="225"/>
    </row>
    <row r="446" spans="4:4" ht="15.75" customHeight="1">
      <c r="D446" s="225"/>
    </row>
    <row r="447" spans="4:4" ht="15.75" customHeight="1">
      <c r="D447" s="225"/>
    </row>
    <row r="448" spans="4:4" ht="15.75" customHeight="1">
      <c r="D448" s="225"/>
    </row>
    <row r="449" spans="4:4" ht="15.75" customHeight="1">
      <c r="D449" s="225"/>
    </row>
    <row r="450" spans="4:4" ht="15.75" customHeight="1">
      <c r="D450" s="225"/>
    </row>
    <row r="451" spans="4:4" ht="15.75" customHeight="1">
      <c r="D451" s="225"/>
    </row>
    <row r="452" spans="4:4" ht="15.75" customHeight="1">
      <c r="D452" s="225"/>
    </row>
    <row r="453" spans="4:4" ht="15.75" customHeight="1">
      <c r="D453" s="225"/>
    </row>
    <row r="454" spans="4:4" ht="15.75" customHeight="1">
      <c r="D454" s="225"/>
    </row>
    <row r="455" spans="4:4" ht="15.75" customHeight="1">
      <c r="D455" s="225"/>
    </row>
    <row r="456" spans="4:4" ht="15.75" customHeight="1">
      <c r="D456" s="225"/>
    </row>
    <row r="457" spans="4:4" ht="15.75" customHeight="1">
      <c r="D457" s="225"/>
    </row>
    <row r="458" spans="4:4" ht="15.75" customHeight="1">
      <c r="D458" s="225"/>
    </row>
    <row r="459" spans="4:4" ht="15.75" customHeight="1">
      <c r="D459" s="225"/>
    </row>
    <row r="460" spans="4:4" ht="15.75" customHeight="1">
      <c r="D460" s="225"/>
    </row>
    <row r="461" spans="4:4" ht="15.75" customHeight="1">
      <c r="D461" s="225"/>
    </row>
    <row r="462" spans="4:4" ht="15.75" customHeight="1">
      <c r="D462" s="225"/>
    </row>
    <row r="463" spans="4:4" ht="15.75" customHeight="1">
      <c r="D463" s="225"/>
    </row>
    <row r="464" spans="4:4" ht="15.75" customHeight="1">
      <c r="D464" s="225"/>
    </row>
    <row r="465" spans="4:4" ht="15.75" customHeight="1">
      <c r="D465" s="225"/>
    </row>
    <row r="466" spans="4:4" ht="15.75" customHeight="1">
      <c r="D466" s="225"/>
    </row>
    <row r="467" spans="4:4" ht="15.75" customHeight="1">
      <c r="D467" s="225"/>
    </row>
    <row r="468" spans="4:4" ht="15.75" customHeight="1">
      <c r="D468" s="225"/>
    </row>
    <row r="469" spans="4:4" ht="15.75" customHeight="1">
      <c r="D469" s="225"/>
    </row>
    <row r="470" spans="4:4" ht="15.75" customHeight="1">
      <c r="D470" s="225"/>
    </row>
    <row r="471" spans="4:4" ht="15.75" customHeight="1">
      <c r="D471" s="225"/>
    </row>
    <row r="472" spans="4:4" ht="15.75" customHeight="1">
      <c r="D472" s="225"/>
    </row>
    <row r="473" spans="4:4" ht="15.75" customHeight="1">
      <c r="D473" s="225"/>
    </row>
    <row r="474" spans="4:4" ht="15.75" customHeight="1">
      <c r="D474" s="225"/>
    </row>
    <row r="475" spans="4:4" ht="15.75" customHeight="1">
      <c r="D475" s="225"/>
    </row>
    <row r="476" spans="4:4" ht="15.75" customHeight="1">
      <c r="D476" s="225"/>
    </row>
    <row r="477" spans="4:4" ht="15.75" customHeight="1">
      <c r="D477" s="225"/>
    </row>
    <row r="478" spans="4:4" ht="15.75" customHeight="1">
      <c r="D478" s="225"/>
    </row>
    <row r="479" spans="4:4" ht="15.75" customHeight="1">
      <c r="D479" s="225"/>
    </row>
    <row r="480" spans="4:4" ht="15.75" customHeight="1">
      <c r="D480" s="225"/>
    </row>
    <row r="481" spans="4:4" ht="15.75" customHeight="1">
      <c r="D481" s="225"/>
    </row>
    <row r="482" spans="4:4" ht="15.75" customHeight="1">
      <c r="D482" s="225"/>
    </row>
    <row r="483" spans="4:4" ht="15.75" customHeight="1">
      <c r="D483" s="225"/>
    </row>
    <row r="484" spans="4:4" ht="15.75" customHeight="1">
      <c r="D484" s="225"/>
    </row>
    <row r="485" spans="4:4" ht="15.75" customHeight="1">
      <c r="D485" s="225"/>
    </row>
    <row r="486" spans="4:4" ht="15.75" customHeight="1">
      <c r="D486" s="225"/>
    </row>
    <row r="487" spans="4:4" ht="15.75" customHeight="1">
      <c r="D487" s="225"/>
    </row>
    <row r="488" spans="4:4" ht="15.75" customHeight="1">
      <c r="D488" s="225"/>
    </row>
    <row r="489" spans="4:4" ht="15.75" customHeight="1">
      <c r="D489" s="225"/>
    </row>
    <row r="490" spans="4:4" ht="15.75" customHeight="1">
      <c r="D490" s="225"/>
    </row>
    <row r="491" spans="4:4" ht="15.75" customHeight="1">
      <c r="D491" s="225"/>
    </row>
    <row r="492" spans="4:4" ht="15.75" customHeight="1">
      <c r="D492" s="225"/>
    </row>
    <row r="493" spans="4:4" ht="15.75" customHeight="1">
      <c r="D493" s="225"/>
    </row>
    <row r="494" spans="4:4" ht="15.75" customHeight="1">
      <c r="D494" s="225"/>
    </row>
    <row r="495" spans="4:4" ht="15.75" customHeight="1">
      <c r="D495" s="225"/>
    </row>
    <row r="496" spans="4:4" ht="15.75" customHeight="1">
      <c r="D496" s="225"/>
    </row>
    <row r="497" spans="4:4" ht="15.75" customHeight="1">
      <c r="D497" s="225"/>
    </row>
    <row r="498" spans="4:4" ht="15.75" customHeight="1">
      <c r="D498" s="225"/>
    </row>
    <row r="499" spans="4:4" ht="15.75" customHeight="1">
      <c r="D499" s="225"/>
    </row>
    <row r="500" spans="4:4" ht="15.75" customHeight="1">
      <c r="D500" s="225"/>
    </row>
    <row r="501" spans="4:4" ht="15.75" customHeight="1">
      <c r="D501" s="225"/>
    </row>
    <row r="502" spans="4:4" ht="15.75" customHeight="1">
      <c r="D502" s="225"/>
    </row>
    <row r="503" spans="4:4" ht="15.75" customHeight="1">
      <c r="D503" s="225"/>
    </row>
    <row r="504" spans="4:4" ht="15.75" customHeight="1">
      <c r="D504" s="225"/>
    </row>
    <row r="505" spans="4:4" ht="15.75" customHeight="1">
      <c r="D505" s="225"/>
    </row>
    <row r="506" spans="4:4" ht="15.75" customHeight="1">
      <c r="D506" s="225"/>
    </row>
    <row r="507" spans="4:4" ht="15.75" customHeight="1">
      <c r="D507" s="225"/>
    </row>
    <row r="508" spans="4:4" ht="15.75" customHeight="1">
      <c r="D508" s="225"/>
    </row>
    <row r="509" spans="4:4" ht="15.75" customHeight="1">
      <c r="D509" s="225"/>
    </row>
    <row r="510" spans="4:4" ht="15.75" customHeight="1">
      <c r="D510" s="225"/>
    </row>
    <row r="511" spans="4:4" ht="15.75" customHeight="1">
      <c r="D511" s="225"/>
    </row>
    <row r="512" spans="4:4" ht="15.75" customHeight="1">
      <c r="D512" s="225"/>
    </row>
    <row r="513" spans="4:4" ht="15.75" customHeight="1">
      <c r="D513" s="225"/>
    </row>
    <row r="514" spans="4:4" ht="15.75" customHeight="1">
      <c r="D514" s="225"/>
    </row>
    <row r="515" spans="4:4" ht="15.75" customHeight="1">
      <c r="D515" s="225"/>
    </row>
    <row r="516" spans="4:4" ht="15.75" customHeight="1">
      <c r="D516" s="225"/>
    </row>
    <row r="517" spans="4:4" ht="15.75" customHeight="1">
      <c r="D517" s="225"/>
    </row>
    <row r="518" spans="4:4" ht="15.75" customHeight="1">
      <c r="D518" s="225"/>
    </row>
    <row r="519" spans="4:4" ht="15.75" customHeight="1">
      <c r="D519" s="225"/>
    </row>
    <row r="520" spans="4:4" ht="15.75" customHeight="1">
      <c r="D520" s="225"/>
    </row>
    <row r="521" spans="4:4" ht="15.75" customHeight="1">
      <c r="D521" s="225"/>
    </row>
    <row r="522" spans="4:4" ht="15.75" customHeight="1">
      <c r="D522" s="225"/>
    </row>
    <row r="523" spans="4:4" ht="15.75" customHeight="1">
      <c r="D523" s="225"/>
    </row>
    <row r="524" spans="4:4" ht="15.75" customHeight="1">
      <c r="D524" s="225"/>
    </row>
    <row r="525" spans="4:4" ht="15.75" customHeight="1">
      <c r="D525" s="225"/>
    </row>
    <row r="526" spans="4:4" ht="15.75" customHeight="1">
      <c r="D526" s="225"/>
    </row>
    <row r="527" spans="4:4" ht="15.75" customHeight="1">
      <c r="D527" s="225"/>
    </row>
    <row r="528" spans="4:4" ht="15.75" customHeight="1">
      <c r="D528" s="225"/>
    </row>
    <row r="529" spans="4:4" ht="15.75" customHeight="1">
      <c r="D529" s="225"/>
    </row>
    <row r="530" spans="4:4" ht="15.75" customHeight="1">
      <c r="D530" s="225"/>
    </row>
    <row r="531" spans="4:4" ht="15.75" customHeight="1">
      <c r="D531" s="225"/>
    </row>
    <row r="532" spans="4:4" ht="15.75" customHeight="1">
      <c r="D532" s="225"/>
    </row>
    <row r="533" spans="4:4" ht="15.75" customHeight="1">
      <c r="D533" s="225"/>
    </row>
    <row r="534" spans="4:4" ht="15.75" customHeight="1">
      <c r="D534" s="225"/>
    </row>
    <row r="535" spans="4:4" ht="15.75" customHeight="1">
      <c r="D535" s="225"/>
    </row>
    <row r="536" spans="4:4" ht="15.75" customHeight="1">
      <c r="D536" s="225"/>
    </row>
    <row r="537" spans="4:4" ht="15.75" customHeight="1">
      <c r="D537" s="225"/>
    </row>
    <row r="538" spans="4:4" ht="15.75" customHeight="1">
      <c r="D538" s="225"/>
    </row>
    <row r="539" spans="4:4" ht="15.75" customHeight="1">
      <c r="D539" s="225"/>
    </row>
    <row r="540" spans="4:4" ht="15.75" customHeight="1">
      <c r="D540" s="225"/>
    </row>
    <row r="541" spans="4:4" ht="15.75" customHeight="1">
      <c r="D541" s="225"/>
    </row>
    <row r="542" spans="4:4" ht="15.75" customHeight="1">
      <c r="D542" s="225"/>
    </row>
    <row r="543" spans="4:4" ht="15.75" customHeight="1">
      <c r="D543" s="225"/>
    </row>
    <row r="544" spans="4:4" ht="15.75" customHeight="1">
      <c r="D544" s="225"/>
    </row>
    <row r="545" spans="4:4" ht="15.75" customHeight="1">
      <c r="D545" s="225"/>
    </row>
    <row r="546" spans="4:4" ht="15.75" customHeight="1">
      <c r="D546" s="225"/>
    </row>
    <row r="547" spans="4:4" ht="15.75" customHeight="1">
      <c r="D547" s="225"/>
    </row>
    <row r="548" spans="4:4" ht="15.75" customHeight="1">
      <c r="D548" s="225"/>
    </row>
    <row r="549" spans="4:4" ht="15.75" customHeight="1">
      <c r="D549" s="225"/>
    </row>
    <row r="550" spans="4:4" ht="15.75" customHeight="1">
      <c r="D550" s="225"/>
    </row>
    <row r="551" spans="4:4" ht="15.75" customHeight="1">
      <c r="D551" s="225"/>
    </row>
    <row r="552" spans="4:4" ht="15.75" customHeight="1">
      <c r="D552" s="225"/>
    </row>
    <row r="553" spans="4:4" ht="15.75" customHeight="1">
      <c r="D553" s="225"/>
    </row>
    <row r="554" spans="4:4" ht="15.75" customHeight="1">
      <c r="D554" s="225"/>
    </row>
    <row r="555" spans="4:4" ht="15.75" customHeight="1">
      <c r="D555" s="225"/>
    </row>
    <row r="556" spans="4:4" ht="15.75" customHeight="1">
      <c r="D556" s="225"/>
    </row>
    <row r="557" spans="4:4" ht="15.75" customHeight="1">
      <c r="D557" s="225"/>
    </row>
    <row r="558" spans="4:4" ht="15.75" customHeight="1">
      <c r="D558" s="225"/>
    </row>
    <row r="559" spans="4:4" ht="15.75" customHeight="1">
      <c r="D559" s="225"/>
    </row>
    <row r="560" spans="4:4" ht="15.75" customHeight="1">
      <c r="D560" s="225"/>
    </row>
    <row r="561" spans="4:4" ht="15.75" customHeight="1">
      <c r="D561" s="225"/>
    </row>
    <row r="562" spans="4:4" ht="15.75" customHeight="1">
      <c r="D562" s="225"/>
    </row>
    <row r="563" spans="4:4" ht="15.75" customHeight="1">
      <c r="D563" s="225"/>
    </row>
    <row r="564" spans="4:4" ht="15.75" customHeight="1">
      <c r="D564" s="225"/>
    </row>
    <row r="565" spans="4:4" ht="15.75" customHeight="1">
      <c r="D565" s="225"/>
    </row>
    <row r="566" spans="4:4" ht="15.75" customHeight="1">
      <c r="D566" s="225"/>
    </row>
    <row r="567" spans="4:4" ht="15.75" customHeight="1">
      <c r="D567" s="225"/>
    </row>
    <row r="568" spans="4:4" ht="15.75" customHeight="1">
      <c r="D568" s="225"/>
    </row>
    <row r="569" spans="4:4" ht="15.75" customHeight="1">
      <c r="D569" s="225"/>
    </row>
    <row r="570" spans="4:4" ht="15.75" customHeight="1">
      <c r="D570" s="225"/>
    </row>
    <row r="571" spans="4:4" ht="15.75" customHeight="1">
      <c r="D571" s="225"/>
    </row>
    <row r="572" spans="4:4" ht="15.75" customHeight="1">
      <c r="D572" s="225"/>
    </row>
    <row r="573" spans="4:4" ht="15.75" customHeight="1">
      <c r="D573" s="225"/>
    </row>
    <row r="574" spans="4:4" ht="15.75" customHeight="1">
      <c r="D574" s="225"/>
    </row>
    <row r="575" spans="4:4" ht="15.75" customHeight="1">
      <c r="D575" s="225"/>
    </row>
    <row r="576" spans="4:4" ht="15.75" customHeight="1">
      <c r="D576" s="225"/>
    </row>
    <row r="577" spans="4:4" ht="15.75" customHeight="1">
      <c r="D577" s="225"/>
    </row>
    <row r="578" spans="4:4" ht="15.75" customHeight="1">
      <c r="D578" s="225"/>
    </row>
    <row r="579" spans="4:4" ht="15.75" customHeight="1">
      <c r="D579" s="225"/>
    </row>
    <row r="580" spans="4:4" ht="15.75" customHeight="1">
      <c r="D580" s="225"/>
    </row>
    <row r="581" spans="4:4" ht="15.75" customHeight="1">
      <c r="D581" s="225"/>
    </row>
    <row r="582" spans="4:4" ht="15.75" customHeight="1">
      <c r="D582" s="225"/>
    </row>
    <row r="583" spans="4:4" ht="15.75" customHeight="1">
      <c r="D583" s="225"/>
    </row>
    <row r="584" spans="4:4" ht="15.75" customHeight="1">
      <c r="D584" s="225"/>
    </row>
    <row r="585" spans="4:4" ht="15.75" customHeight="1">
      <c r="D585" s="225"/>
    </row>
    <row r="586" spans="4:4" ht="15.75" customHeight="1">
      <c r="D586" s="225"/>
    </row>
    <row r="587" spans="4:4" ht="15.75" customHeight="1">
      <c r="D587" s="225"/>
    </row>
    <row r="588" spans="4:4" ht="15.75" customHeight="1">
      <c r="D588" s="225"/>
    </row>
    <row r="589" spans="4:4" ht="15.75" customHeight="1">
      <c r="D589" s="225"/>
    </row>
    <row r="590" spans="4:4" ht="15.75" customHeight="1">
      <c r="D590" s="225"/>
    </row>
    <row r="591" spans="4:4" ht="15.75" customHeight="1">
      <c r="D591" s="225"/>
    </row>
    <row r="592" spans="4:4" ht="15.75" customHeight="1">
      <c r="D592" s="225"/>
    </row>
    <row r="593" spans="4:4" ht="15.75" customHeight="1">
      <c r="D593" s="225"/>
    </row>
    <row r="594" spans="4:4" ht="15.75" customHeight="1">
      <c r="D594" s="225"/>
    </row>
    <row r="595" spans="4:4" ht="15.75" customHeight="1">
      <c r="D595" s="225"/>
    </row>
    <row r="596" spans="4:4" ht="15.75" customHeight="1">
      <c r="D596" s="225"/>
    </row>
    <row r="597" spans="4:4" ht="15.75" customHeight="1">
      <c r="D597" s="225"/>
    </row>
    <row r="598" spans="4:4" ht="15.75" customHeight="1">
      <c r="D598" s="225"/>
    </row>
    <row r="599" spans="4:4" ht="15.75" customHeight="1">
      <c r="D599" s="225"/>
    </row>
    <row r="600" spans="4:4" ht="15.75" customHeight="1">
      <c r="D600" s="225"/>
    </row>
    <row r="601" spans="4:4" ht="15.75" customHeight="1">
      <c r="D601" s="225"/>
    </row>
    <row r="602" spans="4:4" ht="15.75" customHeight="1">
      <c r="D602" s="225"/>
    </row>
    <row r="603" spans="4:4" ht="15.75" customHeight="1">
      <c r="D603" s="225"/>
    </row>
    <row r="604" spans="4:4" ht="15.75" customHeight="1">
      <c r="D604" s="225"/>
    </row>
    <row r="605" spans="4:4" ht="15.75" customHeight="1">
      <c r="D605" s="225"/>
    </row>
    <row r="606" spans="4:4" ht="15.75" customHeight="1">
      <c r="D606" s="225"/>
    </row>
    <row r="607" spans="4:4" ht="15.75" customHeight="1">
      <c r="D607" s="225"/>
    </row>
    <row r="608" spans="4:4" ht="15.75" customHeight="1">
      <c r="D608" s="225"/>
    </row>
    <row r="609" spans="4:4" ht="15.75" customHeight="1">
      <c r="D609" s="225"/>
    </row>
    <row r="610" spans="4:4" ht="15.75" customHeight="1">
      <c r="D610" s="225"/>
    </row>
    <row r="611" spans="4:4" ht="15.75" customHeight="1">
      <c r="D611" s="225"/>
    </row>
    <row r="612" spans="4:4" ht="15.75" customHeight="1">
      <c r="D612" s="225"/>
    </row>
    <row r="613" spans="4:4" ht="15.75" customHeight="1">
      <c r="D613" s="225"/>
    </row>
    <row r="614" spans="4:4" ht="15.75" customHeight="1">
      <c r="D614" s="225"/>
    </row>
    <row r="615" spans="4:4" ht="15.75" customHeight="1">
      <c r="D615" s="225"/>
    </row>
    <row r="616" spans="4:4" ht="15.75" customHeight="1">
      <c r="D616" s="225"/>
    </row>
    <row r="617" spans="4:4" ht="15.75" customHeight="1">
      <c r="D617" s="225"/>
    </row>
    <row r="618" spans="4:4" ht="15.75" customHeight="1">
      <c r="D618" s="225"/>
    </row>
    <row r="619" spans="4:4" ht="15.75" customHeight="1">
      <c r="D619" s="225"/>
    </row>
    <row r="620" spans="4:4" ht="15.75" customHeight="1">
      <c r="D620" s="225"/>
    </row>
    <row r="621" spans="4:4" ht="15.75" customHeight="1">
      <c r="D621" s="225"/>
    </row>
    <row r="622" spans="4:4" ht="15.75" customHeight="1">
      <c r="D622" s="225"/>
    </row>
    <row r="623" spans="4:4" ht="15.75" customHeight="1">
      <c r="D623" s="225"/>
    </row>
    <row r="624" spans="4:4" ht="15.75" customHeight="1">
      <c r="D624" s="225"/>
    </row>
    <row r="625" spans="4:4" ht="15.75" customHeight="1">
      <c r="D625" s="225"/>
    </row>
    <row r="626" spans="4:4" ht="15.75" customHeight="1">
      <c r="D626" s="225"/>
    </row>
    <row r="627" spans="4:4" ht="15.75" customHeight="1">
      <c r="D627" s="225"/>
    </row>
    <row r="628" spans="4:4" ht="15.75" customHeight="1">
      <c r="D628" s="225"/>
    </row>
    <row r="629" spans="4:4" ht="15.75" customHeight="1">
      <c r="D629" s="225"/>
    </row>
    <row r="630" spans="4:4" ht="15.75" customHeight="1">
      <c r="D630" s="225"/>
    </row>
    <row r="631" spans="4:4" ht="15.75" customHeight="1">
      <c r="D631" s="225"/>
    </row>
    <row r="632" spans="4:4" ht="15.75" customHeight="1">
      <c r="D632" s="225"/>
    </row>
    <row r="633" spans="4:4" ht="15.75" customHeight="1">
      <c r="D633" s="225"/>
    </row>
    <row r="634" spans="4:4" ht="15.75" customHeight="1">
      <c r="D634" s="225"/>
    </row>
    <row r="635" spans="4:4" ht="15.75" customHeight="1">
      <c r="D635" s="225"/>
    </row>
    <row r="636" spans="4:4" ht="15.75" customHeight="1">
      <c r="D636" s="225"/>
    </row>
    <row r="637" spans="4:4" ht="15.75" customHeight="1">
      <c r="D637" s="225"/>
    </row>
    <row r="638" spans="4:4" ht="15.75" customHeight="1">
      <c r="D638" s="225"/>
    </row>
    <row r="639" spans="4:4" ht="15.75" customHeight="1">
      <c r="D639" s="225"/>
    </row>
    <row r="640" spans="4:4" ht="15.75" customHeight="1">
      <c r="D640" s="225"/>
    </row>
    <row r="641" spans="4:4" ht="15.75" customHeight="1">
      <c r="D641" s="225"/>
    </row>
    <row r="642" spans="4:4" ht="15.75" customHeight="1">
      <c r="D642" s="225"/>
    </row>
    <row r="643" spans="4:4" ht="15.75" customHeight="1">
      <c r="D643" s="225"/>
    </row>
    <row r="644" spans="4:4" ht="15.75" customHeight="1">
      <c r="D644" s="225"/>
    </row>
    <row r="645" spans="4:4" ht="15.75" customHeight="1">
      <c r="D645" s="225"/>
    </row>
    <row r="646" spans="4:4" ht="15.75" customHeight="1">
      <c r="D646" s="225"/>
    </row>
    <row r="647" spans="4:4" ht="15.75" customHeight="1">
      <c r="D647" s="225"/>
    </row>
    <row r="648" spans="4:4" ht="15.75" customHeight="1">
      <c r="D648" s="225"/>
    </row>
    <row r="649" spans="4:4" ht="15.75" customHeight="1">
      <c r="D649" s="225"/>
    </row>
    <row r="650" spans="4:4" ht="15.75" customHeight="1">
      <c r="D650" s="225"/>
    </row>
    <row r="651" spans="4:4" ht="15.75" customHeight="1">
      <c r="D651" s="225"/>
    </row>
    <row r="652" spans="4:4" ht="15.75" customHeight="1">
      <c r="D652" s="225"/>
    </row>
    <row r="653" spans="4:4" ht="15.75" customHeight="1">
      <c r="D653" s="225"/>
    </row>
    <row r="654" spans="4:4" ht="15.75" customHeight="1">
      <c r="D654" s="225"/>
    </row>
    <row r="655" spans="4:4" ht="15.75" customHeight="1">
      <c r="D655" s="225"/>
    </row>
    <row r="656" spans="4:4" ht="15.75" customHeight="1">
      <c r="D656" s="225"/>
    </row>
    <row r="657" spans="4:4" ht="15.75" customHeight="1">
      <c r="D657" s="225"/>
    </row>
    <row r="658" spans="4:4" ht="15.75" customHeight="1">
      <c r="D658" s="225"/>
    </row>
    <row r="659" spans="4:4" ht="15.75" customHeight="1">
      <c r="D659" s="225"/>
    </row>
    <row r="660" spans="4:4" ht="15.75" customHeight="1">
      <c r="D660" s="225"/>
    </row>
    <row r="661" spans="4:4" ht="15.75" customHeight="1">
      <c r="D661" s="225"/>
    </row>
    <row r="662" spans="4:4" ht="15.75" customHeight="1">
      <c r="D662" s="225"/>
    </row>
    <row r="663" spans="4:4" ht="15.75" customHeight="1">
      <c r="D663" s="225"/>
    </row>
    <row r="664" spans="4:4" ht="15.75" customHeight="1">
      <c r="D664" s="225"/>
    </row>
    <row r="665" spans="4:4" ht="15.75" customHeight="1">
      <c r="D665" s="225"/>
    </row>
    <row r="666" spans="4:4" ht="15.75" customHeight="1">
      <c r="D666" s="225"/>
    </row>
    <row r="667" spans="4:4" ht="15.75" customHeight="1">
      <c r="D667" s="225"/>
    </row>
    <row r="668" spans="4:4" ht="15.75" customHeight="1">
      <c r="D668" s="225"/>
    </row>
    <row r="669" spans="4:4" ht="15.75" customHeight="1">
      <c r="D669" s="225"/>
    </row>
    <row r="670" spans="4:4" ht="15.75" customHeight="1">
      <c r="D670" s="225"/>
    </row>
    <row r="671" spans="4:4" ht="15.75" customHeight="1">
      <c r="D671" s="225"/>
    </row>
    <row r="672" spans="4:4" ht="15.75" customHeight="1">
      <c r="D672" s="225"/>
    </row>
    <row r="673" spans="4:4" ht="15.75" customHeight="1">
      <c r="D673" s="225"/>
    </row>
    <row r="674" spans="4:4" ht="15.75" customHeight="1">
      <c r="D674" s="225"/>
    </row>
    <row r="675" spans="4:4" ht="15.75" customHeight="1">
      <c r="D675" s="225"/>
    </row>
    <row r="676" spans="4:4" ht="15.75" customHeight="1">
      <c r="D676" s="225"/>
    </row>
    <row r="677" spans="4:4" ht="15.75" customHeight="1">
      <c r="D677" s="225"/>
    </row>
    <row r="678" spans="4:4" ht="15.75" customHeight="1">
      <c r="D678" s="225"/>
    </row>
    <row r="679" spans="4:4" ht="15.75" customHeight="1">
      <c r="D679" s="225"/>
    </row>
    <row r="680" spans="4:4" ht="15.75" customHeight="1">
      <c r="D680" s="225"/>
    </row>
    <row r="681" spans="4:4" ht="15.75" customHeight="1">
      <c r="D681" s="225"/>
    </row>
    <row r="682" spans="4:4" ht="15.75" customHeight="1">
      <c r="D682" s="225"/>
    </row>
    <row r="683" spans="4:4" ht="15.75" customHeight="1">
      <c r="D683" s="225"/>
    </row>
    <row r="684" spans="4:4" ht="15.75" customHeight="1">
      <c r="D684" s="225"/>
    </row>
    <row r="685" spans="4:4" ht="15.75" customHeight="1">
      <c r="D685" s="225"/>
    </row>
    <row r="686" spans="4:4" ht="15.75" customHeight="1">
      <c r="D686" s="225"/>
    </row>
    <row r="687" spans="4:4" ht="15.75" customHeight="1">
      <c r="D687" s="225"/>
    </row>
    <row r="688" spans="4:4" ht="15.75" customHeight="1">
      <c r="D688" s="225"/>
    </row>
    <row r="689" spans="4:4" ht="15.75" customHeight="1">
      <c r="D689" s="225"/>
    </row>
    <row r="690" spans="4:4" ht="15.75" customHeight="1">
      <c r="D690" s="225"/>
    </row>
    <row r="691" spans="4:4" ht="15.75" customHeight="1">
      <c r="D691" s="225"/>
    </row>
    <row r="692" spans="4:4" ht="15.75" customHeight="1">
      <c r="D692" s="225"/>
    </row>
    <row r="693" spans="4:4" ht="15.75" customHeight="1">
      <c r="D693" s="225"/>
    </row>
    <row r="694" spans="4:4" ht="15.75" customHeight="1">
      <c r="D694" s="225"/>
    </row>
    <row r="695" spans="4:4" ht="15.75" customHeight="1">
      <c r="D695" s="225"/>
    </row>
    <row r="696" spans="4:4" ht="15.75" customHeight="1">
      <c r="D696" s="225"/>
    </row>
    <row r="697" spans="4:4" ht="15.75" customHeight="1">
      <c r="D697" s="225"/>
    </row>
    <row r="698" spans="4:4" ht="15.75" customHeight="1">
      <c r="D698" s="225"/>
    </row>
    <row r="699" spans="4:4" ht="15.75" customHeight="1">
      <c r="D699" s="225"/>
    </row>
    <row r="700" spans="4:4" ht="15.75" customHeight="1">
      <c r="D700" s="225"/>
    </row>
    <row r="701" spans="4:4" ht="15.75" customHeight="1">
      <c r="D701" s="225"/>
    </row>
    <row r="702" spans="4:4" ht="15.75" customHeight="1">
      <c r="D702" s="225"/>
    </row>
    <row r="703" spans="4:4" ht="15.75" customHeight="1">
      <c r="D703" s="225"/>
    </row>
    <row r="704" spans="4:4" ht="15.75" customHeight="1">
      <c r="D704" s="225"/>
    </row>
    <row r="705" spans="4:4" ht="15.75" customHeight="1">
      <c r="D705" s="225"/>
    </row>
    <row r="706" spans="4:4" ht="15.75" customHeight="1">
      <c r="D706" s="225"/>
    </row>
    <row r="707" spans="4:4" ht="15.75" customHeight="1">
      <c r="D707" s="225"/>
    </row>
    <row r="708" spans="4:4" ht="15.75" customHeight="1">
      <c r="D708" s="225"/>
    </row>
    <row r="709" spans="4:4" ht="15.75" customHeight="1">
      <c r="D709" s="225"/>
    </row>
    <row r="710" spans="4:4" ht="15.75" customHeight="1">
      <c r="D710" s="225"/>
    </row>
    <row r="711" spans="4:4" ht="15.75" customHeight="1">
      <c r="D711" s="225"/>
    </row>
    <row r="712" spans="4:4" ht="15.75" customHeight="1">
      <c r="D712" s="225"/>
    </row>
    <row r="713" spans="4:4" ht="15.75" customHeight="1">
      <c r="D713" s="225"/>
    </row>
    <row r="714" spans="4:4" ht="15.75" customHeight="1">
      <c r="D714" s="225"/>
    </row>
    <row r="715" spans="4:4" ht="15.75" customHeight="1">
      <c r="D715" s="225"/>
    </row>
    <row r="716" spans="4:4" ht="15.75" customHeight="1">
      <c r="D716" s="225"/>
    </row>
    <row r="717" spans="4:4" ht="15.75" customHeight="1">
      <c r="D717" s="225"/>
    </row>
    <row r="718" spans="4:4" ht="15.75" customHeight="1">
      <c r="D718" s="225"/>
    </row>
    <row r="719" spans="4:4" ht="15.75" customHeight="1">
      <c r="D719" s="225"/>
    </row>
    <row r="720" spans="4:4" ht="15.75" customHeight="1">
      <c r="D720" s="225"/>
    </row>
    <row r="721" spans="4:4" ht="15.75" customHeight="1">
      <c r="D721" s="225"/>
    </row>
    <row r="722" spans="4:4" ht="15.75" customHeight="1">
      <c r="D722" s="225"/>
    </row>
    <row r="723" spans="4:4" ht="15.75" customHeight="1">
      <c r="D723" s="225"/>
    </row>
    <row r="724" spans="4:4" ht="15.75" customHeight="1">
      <c r="D724" s="225"/>
    </row>
    <row r="725" spans="4:4" ht="15.75" customHeight="1">
      <c r="D725" s="225"/>
    </row>
    <row r="726" spans="4:4" ht="15.75" customHeight="1">
      <c r="D726" s="225"/>
    </row>
    <row r="727" spans="4:4" ht="15.75" customHeight="1">
      <c r="D727" s="225"/>
    </row>
    <row r="728" spans="4:4" ht="15.75" customHeight="1">
      <c r="D728" s="225"/>
    </row>
    <row r="729" spans="4:4" ht="15.75" customHeight="1">
      <c r="D729" s="225"/>
    </row>
    <row r="730" spans="4:4" ht="15.75" customHeight="1">
      <c r="D730" s="225"/>
    </row>
    <row r="731" spans="4:4" ht="15.75" customHeight="1">
      <c r="D731" s="225"/>
    </row>
    <row r="732" spans="4:4" ht="15.75" customHeight="1">
      <c r="D732" s="225"/>
    </row>
    <row r="733" spans="4:4" ht="15.75" customHeight="1">
      <c r="D733" s="225"/>
    </row>
    <row r="734" spans="4:4" ht="15.75" customHeight="1">
      <c r="D734" s="225"/>
    </row>
    <row r="735" spans="4:4" ht="15.75" customHeight="1">
      <c r="D735" s="225"/>
    </row>
    <row r="736" spans="4:4" ht="15.75" customHeight="1">
      <c r="D736" s="225"/>
    </row>
    <row r="737" spans="4:4" ht="15.75" customHeight="1">
      <c r="D737" s="225"/>
    </row>
    <row r="738" spans="4:4" ht="15.75" customHeight="1">
      <c r="D738" s="225"/>
    </row>
    <row r="739" spans="4:4" ht="15.75" customHeight="1">
      <c r="D739" s="225"/>
    </row>
    <row r="740" spans="4:4" ht="15.75" customHeight="1">
      <c r="D740" s="225"/>
    </row>
    <row r="741" spans="4:4" ht="15.75" customHeight="1">
      <c r="D741" s="225"/>
    </row>
    <row r="742" spans="4:4" ht="15.75" customHeight="1">
      <c r="D742" s="225"/>
    </row>
    <row r="743" spans="4:4" ht="15.75" customHeight="1">
      <c r="D743" s="225"/>
    </row>
    <row r="744" spans="4:4" ht="15.75" customHeight="1">
      <c r="D744" s="225"/>
    </row>
    <row r="745" spans="4:4" ht="15.75" customHeight="1">
      <c r="D745" s="225"/>
    </row>
    <row r="746" spans="4:4" ht="15.75" customHeight="1">
      <c r="D746" s="225"/>
    </row>
    <row r="747" spans="4:4" ht="15.75" customHeight="1">
      <c r="D747" s="225"/>
    </row>
    <row r="748" spans="4:4" ht="15.75" customHeight="1">
      <c r="D748" s="225"/>
    </row>
    <row r="749" spans="4:4" ht="15.75" customHeight="1">
      <c r="D749" s="225"/>
    </row>
    <row r="750" spans="4:4" ht="15.75" customHeight="1">
      <c r="D750" s="225"/>
    </row>
    <row r="751" spans="4:4" ht="15.75" customHeight="1">
      <c r="D751" s="225"/>
    </row>
    <row r="752" spans="4:4" ht="15.75" customHeight="1">
      <c r="D752" s="225"/>
    </row>
    <row r="753" spans="4:4" ht="15.75" customHeight="1">
      <c r="D753" s="225"/>
    </row>
    <row r="754" spans="4:4" ht="15.75" customHeight="1">
      <c r="D754" s="225"/>
    </row>
    <row r="755" spans="4:4" ht="15.75" customHeight="1">
      <c r="D755" s="225"/>
    </row>
    <row r="756" spans="4:4" ht="15.75" customHeight="1">
      <c r="D756" s="225"/>
    </row>
    <row r="757" spans="4:4" ht="15.75" customHeight="1">
      <c r="D757" s="225"/>
    </row>
    <row r="758" spans="4:4" ht="15.75" customHeight="1">
      <c r="D758" s="225"/>
    </row>
    <row r="759" spans="4:4" ht="15.75" customHeight="1">
      <c r="D759" s="225"/>
    </row>
    <row r="760" spans="4:4" ht="15.75" customHeight="1">
      <c r="D760" s="225"/>
    </row>
    <row r="761" spans="4:4" ht="15.75" customHeight="1">
      <c r="D761" s="225"/>
    </row>
    <row r="762" spans="4:4" ht="15.75" customHeight="1">
      <c r="D762" s="225"/>
    </row>
    <row r="763" spans="4:4" ht="15.75" customHeight="1">
      <c r="D763" s="225"/>
    </row>
    <row r="764" spans="4:4" ht="15.75" customHeight="1">
      <c r="D764" s="225"/>
    </row>
    <row r="765" spans="4:4" ht="15.75" customHeight="1">
      <c r="D765" s="225"/>
    </row>
    <row r="766" spans="4:4" ht="15.75" customHeight="1">
      <c r="D766" s="225"/>
    </row>
    <row r="767" spans="4:4" ht="15.75" customHeight="1">
      <c r="D767" s="225"/>
    </row>
    <row r="768" spans="4:4" ht="15.75" customHeight="1">
      <c r="D768" s="225"/>
    </row>
    <row r="769" spans="4:4" ht="15.75" customHeight="1">
      <c r="D769" s="225"/>
    </row>
    <row r="770" spans="4:4" ht="15.75" customHeight="1">
      <c r="D770" s="225"/>
    </row>
    <row r="771" spans="4:4" ht="15.75" customHeight="1">
      <c r="D771" s="225"/>
    </row>
    <row r="772" spans="4:4" ht="15.75" customHeight="1">
      <c r="D772" s="225"/>
    </row>
    <row r="773" spans="4:4" ht="15.75" customHeight="1">
      <c r="D773" s="225"/>
    </row>
    <row r="774" spans="4:4" ht="15.75" customHeight="1">
      <c r="D774" s="225"/>
    </row>
    <row r="775" spans="4:4" ht="15.75" customHeight="1">
      <c r="D775" s="225"/>
    </row>
    <row r="776" spans="4:4" ht="15.75" customHeight="1">
      <c r="D776" s="225"/>
    </row>
    <row r="777" spans="4:4" ht="15.75" customHeight="1">
      <c r="D777" s="225"/>
    </row>
    <row r="778" spans="4:4" ht="15.75" customHeight="1">
      <c r="D778" s="225"/>
    </row>
    <row r="779" spans="4:4" ht="15.75" customHeight="1">
      <c r="D779" s="225"/>
    </row>
    <row r="780" spans="4:4" ht="15.75" customHeight="1">
      <c r="D780" s="225"/>
    </row>
    <row r="781" spans="4:4" ht="15.75" customHeight="1">
      <c r="D781" s="225"/>
    </row>
    <row r="782" spans="4:4" ht="15.75" customHeight="1">
      <c r="D782" s="225"/>
    </row>
    <row r="783" spans="4:4" ht="15.75" customHeight="1">
      <c r="D783" s="225"/>
    </row>
    <row r="784" spans="4:4" ht="15.75" customHeight="1">
      <c r="D784" s="225"/>
    </row>
    <row r="785" spans="4:4" ht="15.75" customHeight="1">
      <c r="D785" s="225"/>
    </row>
    <row r="786" spans="4:4" ht="15.75" customHeight="1">
      <c r="D786" s="225"/>
    </row>
    <row r="787" spans="4:4" ht="15.75" customHeight="1">
      <c r="D787" s="225"/>
    </row>
    <row r="788" spans="4:4" ht="15.75" customHeight="1">
      <c r="D788" s="225"/>
    </row>
    <row r="789" spans="4:4" ht="15.75" customHeight="1">
      <c r="D789" s="225"/>
    </row>
    <row r="790" spans="4:4" ht="15.75" customHeight="1">
      <c r="D790" s="225"/>
    </row>
    <row r="791" spans="4:4" ht="15.75" customHeight="1">
      <c r="D791" s="225"/>
    </row>
    <row r="792" spans="4:4" ht="15.75" customHeight="1">
      <c r="D792" s="225"/>
    </row>
    <row r="793" spans="4:4" ht="15.75" customHeight="1">
      <c r="D793" s="225"/>
    </row>
    <row r="794" spans="4:4" ht="15.75" customHeight="1">
      <c r="D794" s="225"/>
    </row>
    <row r="795" spans="4:4" ht="15.75" customHeight="1">
      <c r="D795" s="225"/>
    </row>
    <row r="796" spans="4:4" ht="15.75" customHeight="1">
      <c r="D796" s="225"/>
    </row>
    <row r="797" spans="4:4" ht="15.75" customHeight="1">
      <c r="D797" s="225"/>
    </row>
    <row r="798" spans="4:4" ht="15.75" customHeight="1">
      <c r="D798" s="225"/>
    </row>
    <row r="799" spans="4:4" ht="15.75" customHeight="1">
      <c r="D799" s="225"/>
    </row>
    <row r="800" spans="4:4" ht="15.75" customHeight="1">
      <c r="D800" s="225"/>
    </row>
    <row r="801" spans="4:4" ht="15.75" customHeight="1">
      <c r="D801" s="225"/>
    </row>
    <row r="802" spans="4:4" ht="15.75" customHeight="1">
      <c r="D802" s="225"/>
    </row>
    <row r="803" spans="4:4" ht="15.75" customHeight="1">
      <c r="D803" s="225"/>
    </row>
    <row r="804" spans="4:4" ht="15.75" customHeight="1">
      <c r="D804" s="225"/>
    </row>
    <row r="805" spans="4:4" ht="15.75" customHeight="1">
      <c r="D805" s="225"/>
    </row>
    <row r="806" spans="4:4" ht="15.75" customHeight="1">
      <c r="D806" s="225"/>
    </row>
    <row r="807" spans="4:4" ht="15.75" customHeight="1">
      <c r="D807" s="225"/>
    </row>
    <row r="808" spans="4:4" ht="15.75" customHeight="1">
      <c r="D808" s="225"/>
    </row>
    <row r="809" spans="4:4" ht="15.75" customHeight="1">
      <c r="D809" s="225"/>
    </row>
    <row r="810" spans="4:4" ht="15.75" customHeight="1">
      <c r="D810" s="225"/>
    </row>
    <row r="811" spans="4:4" ht="15.75" customHeight="1">
      <c r="D811" s="225"/>
    </row>
    <row r="812" spans="4:4" ht="15.75" customHeight="1">
      <c r="D812" s="225"/>
    </row>
    <row r="813" spans="4:4" ht="15.75" customHeight="1">
      <c r="D813" s="225"/>
    </row>
    <row r="814" spans="4:4" ht="15.75" customHeight="1">
      <c r="D814" s="225"/>
    </row>
    <row r="815" spans="4:4" ht="15.75" customHeight="1">
      <c r="D815" s="225"/>
    </row>
    <row r="816" spans="4:4" ht="15.75" customHeight="1">
      <c r="D816" s="225"/>
    </row>
    <row r="817" spans="4:4" ht="15.75" customHeight="1">
      <c r="D817" s="225"/>
    </row>
    <row r="818" spans="4:4" ht="15.75" customHeight="1">
      <c r="D818" s="225"/>
    </row>
    <row r="819" spans="4:4" ht="15.75" customHeight="1">
      <c r="D819" s="225"/>
    </row>
    <row r="820" spans="4:4" ht="15.75" customHeight="1">
      <c r="D820" s="225"/>
    </row>
    <row r="821" spans="4:4" ht="15.75" customHeight="1">
      <c r="D821" s="225"/>
    </row>
    <row r="822" spans="4:4" ht="15.75" customHeight="1">
      <c r="D822" s="225"/>
    </row>
    <row r="823" spans="4:4" ht="15.75" customHeight="1">
      <c r="D823" s="225"/>
    </row>
    <row r="824" spans="4:4" ht="15.75" customHeight="1">
      <c r="D824" s="225"/>
    </row>
    <row r="825" spans="4:4" ht="15.75" customHeight="1">
      <c r="D825" s="225"/>
    </row>
    <row r="826" spans="4:4" ht="15.75" customHeight="1">
      <c r="D826" s="225"/>
    </row>
    <row r="827" spans="4:4" ht="15.75" customHeight="1">
      <c r="D827" s="225"/>
    </row>
    <row r="828" spans="4:4" ht="15.75" customHeight="1">
      <c r="D828" s="225"/>
    </row>
    <row r="829" spans="4:4" ht="15.75" customHeight="1">
      <c r="D829" s="225"/>
    </row>
    <row r="830" spans="4:4" ht="15.75" customHeight="1">
      <c r="D830" s="225"/>
    </row>
    <row r="831" spans="4:4" ht="15.75" customHeight="1">
      <c r="D831" s="225"/>
    </row>
    <row r="832" spans="4:4" ht="15.75" customHeight="1">
      <c r="D832" s="225"/>
    </row>
    <row r="833" spans="4:4" ht="15.75" customHeight="1">
      <c r="D833" s="225"/>
    </row>
    <row r="834" spans="4:4" ht="15.75" customHeight="1">
      <c r="D834" s="225"/>
    </row>
    <row r="835" spans="4:4" ht="15.75" customHeight="1">
      <c r="D835" s="225"/>
    </row>
    <row r="836" spans="4:4" ht="15.75" customHeight="1">
      <c r="D836" s="225"/>
    </row>
    <row r="837" spans="4:4" ht="15.75" customHeight="1">
      <c r="D837" s="225"/>
    </row>
    <row r="838" spans="4:4" ht="15.75" customHeight="1">
      <c r="D838" s="225"/>
    </row>
    <row r="839" spans="4:4" ht="15.75" customHeight="1">
      <c r="D839" s="225"/>
    </row>
    <row r="840" spans="4:4" ht="15.75" customHeight="1">
      <c r="D840" s="225"/>
    </row>
    <row r="841" spans="4:4" ht="15.75" customHeight="1">
      <c r="D841" s="225"/>
    </row>
    <row r="842" spans="4:4" ht="15.75" customHeight="1">
      <c r="D842" s="225"/>
    </row>
    <row r="843" spans="4:4" ht="15.75" customHeight="1">
      <c r="D843" s="225"/>
    </row>
    <row r="844" spans="4:4" ht="15.75" customHeight="1">
      <c r="D844" s="225"/>
    </row>
    <row r="845" spans="4:4" ht="15.75" customHeight="1">
      <c r="D845" s="225"/>
    </row>
    <row r="846" spans="4:4" ht="15.75" customHeight="1">
      <c r="D846" s="225"/>
    </row>
    <row r="847" spans="4:4" ht="15.75" customHeight="1">
      <c r="D847" s="225"/>
    </row>
    <row r="848" spans="4:4" ht="15.75" customHeight="1">
      <c r="D848" s="225"/>
    </row>
    <row r="849" spans="4:4" ht="15.75" customHeight="1">
      <c r="D849" s="225"/>
    </row>
    <row r="850" spans="4:4" ht="15.75" customHeight="1">
      <c r="D850" s="225"/>
    </row>
    <row r="851" spans="4:4" ht="15.75" customHeight="1">
      <c r="D851" s="225"/>
    </row>
    <row r="852" spans="4:4" ht="15.75" customHeight="1">
      <c r="D852" s="225"/>
    </row>
    <row r="853" spans="4:4" ht="15.75" customHeight="1">
      <c r="D853" s="225"/>
    </row>
    <row r="854" spans="4:4" ht="15.75" customHeight="1">
      <c r="D854" s="225"/>
    </row>
    <row r="855" spans="4:4" ht="15.75" customHeight="1">
      <c r="D855" s="225"/>
    </row>
    <row r="856" spans="4:4" ht="15.75" customHeight="1">
      <c r="D856" s="225"/>
    </row>
    <row r="857" spans="4:4" ht="15.75" customHeight="1">
      <c r="D857" s="225"/>
    </row>
    <row r="858" spans="4:4" ht="15.75" customHeight="1">
      <c r="D858" s="225"/>
    </row>
    <row r="859" spans="4:4" ht="15.75" customHeight="1">
      <c r="D859" s="225"/>
    </row>
    <row r="860" spans="4:4" ht="15.75" customHeight="1">
      <c r="D860" s="225"/>
    </row>
    <row r="861" spans="4:4" ht="15.75" customHeight="1">
      <c r="D861" s="225"/>
    </row>
    <row r="862" spans="4:4" ht="15.75" customHeight="1">
      <c r="D862" s="225"/>
    </row>
    <row r="863" spans="4:4" ht="15.75" customHeight="1">
      <c r="D863" s="225"/>
    </row>
    <row r="864" spans="4:4" ht="15.75" customHeight="1">
      <c r="D864" s="225"/>
    </row>
    <row r="865" spans="4:4" ht="15.75" customHeight="1">
      <c r="D865" s="225"/>
    </row>
    <row r="866" spans="4:4" ht="15.75" customHeight="1">
      <c r="D866" s="225"/>
    </row>
    <row r="867" spans="4:4" ht="15.75" customHeight="1">
      <c r="D867" s="225"/>
    </row>
    <row r="868" spans="4:4" ht="15.75" customHeight="1">
      <c r="D868" s="225"/>
    </row>
    <row r="869" spans="4:4" ht="15.75" customHeight="1">
      <c r="D869" s="225"/>
    </row>
    <row r="870" spans="4:4" ht="15.75" customHeight="1">
      <c r="D870" s="225"/>
    </row>
    <row r="871" spans="4:4" ht="15.75" customHeight="1">
      <c r="D871" s="225"/>
    </row>
    <row r="872" spans="4:4" ht="15.75" customHeight="1">
      <c r="D872" s="225"/>
    </row>
    <row r="873" spans="4:4" ht="15.75" customHeight="1">
      <c r="D873" s="225"/>
    </row>
    <row r="874" spans="4:4" ht="15.75" customHeight="1">
      <c r="D874" s="225"/>
    </row>
    <row r="875" spans="4:4" ht="15.75" customHeight="1">
      <c r="D875" s="225"/>
    </row>
    <row r="876" spans="4:4" ht="15.75" customHeight="1">
      <c r="D876" s="225"/>
    </row>
    <row r="877" spans="4:4" ht="15.75" customHeight="1">
      <c r="D877" s="225"/>
    </row>
    <row r="878" spans="4:4" ht="15.75" customHeight="1">
      <c r="D878" s="225"/>
    </row>
    <row r="879" spans="4:4" ht="15.75" customHeight="1">
      <c r="D879" s="225"/>
    </row>
    <row r="880" spans="4:4" ht="15.75" customHeight="1">
      <c r="D880" s="225"/>
    </row>
    <row r="881" spans="4:4" ht="15.75" customHeight="1">
      <c r="D881" s="225"/>
    </row>
    <row r="882" spans="4:4" ht="15.75" customHeight="1">
      <c r="D882" s="225"/>
    </row>
    <row r="883" spans="4:4" ht="15.75" customHeight="1">
      <c r="D883" s="225"/>
    </row>
    <row r="884" spans="4:4" ht="15.75" customHeight="1">
      <c r="D884" s="225"/>
    </row>
    <row r="885" spans="4:4" ht="15.75" customHeight="1">
      <c r="D885" s="225"/>
    </row>
    <row r="886" spans="4:4" ht="15.75" customHeight="1">
      <c r="D886" s="225"/>
    </row>
    <row r="887" spans="4:4" ht="15.75" customHeight="1">
      <c r="D887" s="225"/>
    </row>
    <row r="888" spans="4:4" ht="15.75" customHeight="1">
      <c r="D888" s="225"/>
    </row>
    <row r="889" spans="4:4" ht="15.75" customHeight="1">
      <c r="D889" s="225"/>
    </row>
    <row r="890" spans="4:4" ht="15.75" customHeight="1">
      <c r="D890" s="225"/>
    </row>
    <row r="891" spans="4:4" ht="15.75" customHeight="1">
      <c r="D891" s="225"/>
    </row>
    <row r="892" spans="4:4" ht="15.75" customHeight="1">
      <c r="D892" s="225"/>
    </row>
    <row r="893" spans="4:4" ht="15.75" customHeight="1">
      <c r="D893" s="225"/>
    </row>
    <row r="894" spans="4:4" ht="15.75" customHeight="1">
      <c r="D894" s="225"/>
    </row>
    <row r="895" spans="4:4" ht="15.75" customHeight="1">
      <c r="D895" s="225"/>
    </row>
    <row r="896" spans="4:4" ht="15.75" customHeight="1">
      <c r="D896" s="225"/>
    </row>
    <row r="897" spans="4:4" ht="15.75" customHeight="1">
      <c r="D897" s="225"/>
    </row>
    <row r="898" spans="4:4" ht="15.75" customHeight="1">
      <c r="D898" s="225"/>
    </row>
    <row r="899" spans="4:4" ht="15.75" customHeight="1">
      <c r="D899" s="225"/>
    </row>
    <row r="900" spans="4:4" ht="15.75" customHeight="1">
      <c r="D900" s="225"/>
    </row>
    <row r="901" spans="4:4" ht="15.75" customHeight="1">
      <c r="D901" s="225"/>
    </row>
    <row r="902" spans="4:4" ht="15.75" customHeight="1">
      <c r="D902" s="225"/>
    </row>
    <row r="903" spans="4:4" ht="15.75" customHeight="1">
      <c r="D903" s="225"/>
    </row>
    <row r="904" spans="4:4" ht="15.75" customHeight="1">
      <c r="D904" s="225"/>
    </row>
    <row r="905" spans="4:4" ht="15.75" customHeight="1">
      <c r="D905" s="225"/>
    </row>
    <row r="906" spans="4:4" ht="15.75" customHeight="1">
      <c r="D906" s="225"/>
    </row>
    <row r="907" spans="4:4" ht="15.75" customHeight="1">
      <c r="D907" s="225"/>
    </row>
    <row r="908" spans="4:4" ht="15.75" customHeight="1">
      <c r="D908" s="225"/>
    </row>
    <row r="909" spans="4:4" ht="15.75" customHeight="1">
      <c r="D909" s="225"/>
    </row>
    <row r="910" spans="4:4" ht="15.75" customHeight="1">
      <c r="D910" s="225"/>
    </row>
    <row r="911" spans="4:4" ht="15.75" customHeight="1">
      <c r="D911" s="225"/>
    </row>
    <row r="912" spans="4:4" ht="15.75" customHeight="1">
      <c r="D912" s="225"/>
    </row>
    <row r="913" spans="4:4" ht="15.75" customHeight="1">
      <c r="D913" s="225"/>
    </row>
    <row r="914" spans="4:4" ht="15.75" customHeight="1">
      <c r="D914" s="225"/>
    </row>
    <row r="915" spans="4:4" ht="15.75" customHeight="1">
      <c r="D915" s="225"/>
    </row>
    <row r="916" spans="4:4" ht="15.75" customHeight="1">
      <c r="D916" s="225"/>
    </row>
    <row r="917" spans="4:4" ht="15.75" customHeight="1">
      <c r="D917" s="225"/>
    </row>
    <row r="918" spans="4:4" ht="15.75" customHeight="1">
      <c r="D918" s="225"/>
    </row>
    <row r="919" spans="4:4" ht="15.75" customHeight="1">
      <c r="D919" s="225"/>
    </row>
    <row r="920" spans="4:4" ht="15.75" customHeight="1">
      <c r="D920" s="225"/>
    </row>
    <row r="921" spans="4:4" ht="15.75" customHeight="1">
      <c r="D921" s="225"/>
    </row>
    <row r="922" spans="4:4" ht="15.75" customHeight="1">
      <c r="D922" s="225"/>
    </row>
    <row r="923" spans="4:4" ht="15.75" customHeight="1">
      <c r="D923" s="225"/>
    </row>
    <row r="924" spans="4:4" ht="15.75" customHeight="1">
      <c r="D924" s="225"/>
    </row>
    <row r="925" spans="4:4" ht="15.75" customHeight="1">
      <c r="D925" s="225"/>
    </row>
    <row r="926" spans="4:4" ht="15.75" customHeight="1">
      <c r="D926" s="225"/>
    </row>
    <row r="927" spans="4:4" ht="15.75" customHeight="1">
      <c r="D927" s="225"/>
    </row>
    <row r="928" spans="4:4" ht="15.75" customHeight="1">
      <c r="D928" s="225"/>
    </row>
    <row r="929" spans="4:4" ht="15.75" customHeight="1">
      <c r="D929" s="225"/>
    </row>
    <row r="930" spans="4:4" ht="15.75" customHeight="1">
      <c r="D930" s="225"/>
    </row>
    <row r="931" spans="4:4" ht="15.75" customHeight="1">
      <c r="D931" s="225"/>
    </row>
    <row r="932" spans="4:4" ht="15.75" customHeight="1">
      <c r="D932" s="225"/>
    </row>
    <row r="933" spans="4:4" ht="15.75" customHeight="1">
      <c r="D933" s="225"/>
    </row>
    <row r="934" spans="4:4" ht="15.75" customHeight="1">
      <c r="D934" s="225"/>
    </row>
    <row r="935" spans="4:4" ht="15.75" customHeight="1">
      <c r="D935" s="225"/>
    </row>
    <row r="936" spans="4:4" ht="15.75" customHeight="1">
      <c r="D936" s="225"/>
    </row>
    <row r="937" spans="4:4" ht="15.75" customHeight="1">
      <c r="D937" s="225"/>
    </row>
    <row r="938" spans="4:4" ht="15.75" customHeight="1">
      <c r="D938" s="225"/>
    </row>
    <row r="939" spans="4:4" ht="15.75" customHeight="1">
      <c r="D939" s="225"/>
    </row>
    <row r="940" spans="4:4" ht="15.75" customHeight="1">
      <c r="D940" s="225"/>
    </row>
    <row r="941" spans="4:4" ht="15.75" customHeight="1">
      <c r="D941" s="225"/>
    </row>
    <row r="942" spans="4:4" ht="15.75" customHeight="1">
      <c r="D942" s="225"/>
    </row>
    <row r="943" spans="4:4" ht="15.75" customHeight="1">
      <c r="D943" s="225"/>
    </row>
    <row r="944" spans="4:4" ht="15.75" customHeight="1">
      <c r="D944" s="225"/>
    </row>
    <row r="945" spans="4:4" ht="15.75" customHeight="1">
      <c r="D945" s="225"/>
    </row>
    <row r="946" spans="4:4" ht="15.75" customHeight="1">
      <c r="D946" s="225"/>
    </row>
    <row r="947" spans="4:4" ht="15.75" customHeight="1">
      <c r="D947" s="225"/>
    </row>
    <row r="948" spans="4:4" ht="15.75" customHeight="1">
      <c r="D948" s="225"/>
    </row>
    <row r="949" spans="4:4" ht="15.75" customHeight="1">
      <c r="D949" s="225"/>
    </row>
    <row r="950" spans="4:4" ht="15.75" customHeight="1">
      <c r="D950" s="225"/>
    </row>
    <row r="951" spans="4:4" ht="15.75" customHeight="1">
      <c r="D951" s="225"/>
    </row>
    <row r="952" spans="4:4" ht="15.75" customHeight="1">
      <c r="D952" s="225"/>
    </row>
    <row r="953" spans="4:4" ht="15.75" customHeight="1">
      <c r="D953" s="225"/>
    </row>
    <row r="954" spans="4:4" ht="15.75" customHeight="1">
      <c r="D954" s="225"/>
    </row>
    <row r="955" spans="4:4" ht="15.75" customHeight="1">
      <c r="D955" s="225"/>
    </row>
    <row r="956" spans="4:4" ht="15.75" customHeight="1">
      <c r="D956" s="225"/>
    </row>
    <row r="957" spans="4:4" ht="15.75" customHeight="1">
      <c r="D957" s="225"/>
    </row>
    <row r="958" spans="4:4" ht="15.75" customHeight="1">
      <c r="D958" s="225"/>
    </row>
    <row r="959" spans="4:4" ht="15.75" customHeight="1">
      <c r="D959" s="225"/>
    </row>
    <row r="960" spans="4:4" ht="15.75" customHeight="1">
      <c r="D960" s="225"/>
    </row>
    <row r="961" spans="4:4" ht="15.75" customHeight="1">
      <c r="D961" s="225"/>
    </row>
    <row r="962" spans="4:4" ht="15.75" customHeight="1">
      <c r="D962" s="225"/>
    </row>
    <row r="963" spans="4:4" ht="15.75" customHeight="1">
      <c r="D963" s="225"/>
    </row>
    <row r="964" spans="4:4" ht="15.75" customHeight="1">
      <c r="D964" s="225"/>
    </row>
    <row r="965" spans="4:4" ht="15.75" customHeight="1">
      <c r="D965" s="225"/>
    </row>
    <row r="966" spans="4:4" ht="15.75" customHeight="1">
      <c r="D966" s="225"/>
    </row>
    <row r="967" spans="4:4" ht="15.75" customHeight="1">
      <c r="D967" s="225"/>
    </row>
    <row r="968" spans="4:4" ht="15.75" customHeight="1">
      <c r="D968" s="225"/>
    </row>
    <row r="969" spans="4:4" ht="15.75" customHeight="1">
      <c r="D969" s="225"/>
    </row>
    <row r="970" spans="4:4" ht="15.75" customHeight="1">
      <c r="D970" s="225"/>
    </row>
    <row r="971" spans="4:4" ht="15.75" customHeight="1">
      <c r="D971" s="225"/>
    </row>
    <row r="972" spans="4:4" ht="15.75" customHeight="1">
      <c r="D972" s="225"/>
    </row>
    <row r="973" spans="4:4" ht="15.75" customHeight="1">
      <c r="D973" s="225"/>
    </row>
    <row r="974" spans="4:4" ht="15.75" customHeight="1">
      <c r="D974" s="225"/>
    </row>
    <row r="975" spans="4:4" ht="15.75" customHeight="1">
      <c r="D975" s="225"/>
    </row>
    <row r="976" spans="4:4" ht="15.75" customHeight="1">
      <c r="D976" s="225"/>
    </row>
    <row r="977" spans="4:4" ht="15.75" customHeight="1">
      <c r="D977" s="225"/>
    </row>
    <row r="978" spans="4:4" ht="15.75" customHeight="1">
      <c r="D978" s="225"/>
    </row>
    <row r="979" spans="4:4" ht="15.75" customHeight="1">
      <c r="D979" s="225"/>
    </row>
    <row r="980" spans="4:4" ht="15.75" customHeight="1">
      <c r="D980" s="225"/>
    </row>
    <row r="981" spans="4:4" ht="15.75" customHeight="1">
      <c r="D981" s="225"/>
    </row>
    <row r="982" spans="4:4" ht="15.75" customHeight="1">
      <c r="D982" s="225"/>
    </row>
    <row r="983" spans="4:4" ht="15.75" customHeight="1">
      <c r="D983" s="225"/>
    </row>
    <row r="984" spans="4:4" ht="15.75" customHeight="1">
      <c r="D984" s="225"/>
    </row>
    <row r="985" spans="4:4" ht="15.75" customHeight="1">
      <c r="D985" s="225"/>
    </row>
    <row r="986" spans="4:4" ht="15.75" customHeight="1">
      <c r="D986" s="225"/>
    </row>
    <row r="987" spans="4:4" ht="15.75" customHeight="1">
      <c r="D987" s="225"/>
    </row>
    <row r="988" spans="4:4" ht="15.75" customHeight="1">
      <c r="D988" s="225"/>
    </row>
    <row r="989" spans="4:4" ht="15.75" customHeight="1">
      <c r="D989" s="225"/>
    </row>
    <row r="990" spans="4:4" ht="15.75" customHeight="1">
      <c r="D990" s="225"/>
    </row>
    <row r="991" spans="4:4" ht="15.75" customHeight="1">
      <c r="D991" s="225"/>
    </row>
    <row r="992" spans="4:4" ht="15.75" customHeight="1">
      <c r="D992" s="225"/>
    </row>
    <row r="993" spans="4:4" ht="15.75" customHeight="1">
      <c r="D993" s="225"/>
    </row>
    <row r="994" spans="4:4" ht="15.75" customHeight="1">
      <c r="D994" s="225"/>
    </row>
    <row r="995" spans="4:4" ht="15.75" customHeight="1">
      <c r="D995" s="225"/>
    </row>
    <row r="996" spans="4:4" ht="15.75" customHeight="1">
      <c r="D996" s="225"/>
    </row>
  </sheetData>
  <mergeCells count="1">
    <mergeCell ref="B18:E18"/>
  </mergeCells>
  <hyperlinks>
    <hyperlink ref="E25" r:id="rId1" xr:uid="{00000000-0004-0000-0D00-000000000000}"/>
    <hyperlink ref="E26" r:id="rId2" xr:uid="{00000000-0004-0000-0D00-000001000000}"/>
    <hyperlink ref="E43" r:id="rId3" xr:uid="{00000000-0004-0000-0D00-000002000000}"/>
    <hyperlink ref="E44" r:id="rId4" xr:uid="{00000000-0004-0000-0D00-000003000000}"/>
    <hyperlink ref="E47" r:id="rId5" xr:uid="{00000000-0004-0000-0D00-000004000000}"/>
    <hyperlink ref="E60" r:id="rId6" xr:uid="{00000000-0004-0000-0D00-000005000000}"/>
    <hyperlink ref="E62" r:id="rId7" xr:uid="{00000000-0004-0000-0D00-000006000000}"/>
    <hyperlink ref="E63" r:id="rId8" xr:uid="{00000000-0004-0000-0D00-000007000000}"/>
    <hyperlink ref="E66" r:id="rId9" xr:uid="{00000000-0004-0000-0D00-000008000000}"/>
    <hyperlink ref="E67" r:id="rId10" xr:uid="{00000000-0004-0000-0D00-000009000000}"/>
    <hyperlink ref="E68" r:id="rId11" xr:uid="{00000000-0004-0000-0D00-00000A000000}"/>
    <hyperlink ref="E69" r:id="rId12" xr:uid="{00000000-0004-0000-0D00-00000B000000}"/>
    <hyperlink ref="E70" r:id="rId13" xr:uid="{00000000-0004-0000-0D00-00000C000000}"/>
    <hyperlink ref="E72" r:id="rId14" xr:uid="{00000000-0004-0000-0D00-00000D000000}"/>
    <hyperlink ref="E75" r:id="rId15" xr:uid="{00000000-0004-0000-0D00-00000E000000}"/>
    <hyperlink ref="E78" r:id="rId16" xr:uid="{00000000-0004-0000-0D00-00000F000000}"/>
    <hyperlink ref="E81" r:id="rId17" xr:uid="{00000000-0004-0000-0D00-000010000000}"/>
    <hyperlink ref="E82" r:id="rId18" xr:uid="{00000000-0004-0000-0D00-000011000000}"/>
    <hyperlink ref="E86" r:id="rId19" xr:uid="{00000000-0004-0000-0D00-000012000000}"/>
    <hyperlink ref="E87" r:id="rId20" xr:uid="{00000000-0004-0000-0D00-000013000000}"/>
    <hyperlink ref="E90" r:id="rId21" xr:uid="{00000000-0004-0000-0D00-000014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108"/>
  <sheetViews>
    <sheetView topLeftCell="A21" workbookViewId="0">
      <selection activeCell="B64" sqref="B64"/>
    </sheetView>
  </sheetViews>
  <sheetFormatPr defaultColWidth="12.5703125" defaultRowHeight="15" customHeight="1"/>
  <cols>
    <col min="1" max="1" width="15" customWidth="1"/>
    <col min="2" max="2" width="52.28515625" customWidth="1"/>
  </cols>
  <sheetData>
    <row r="1" spans="1:2" ht="15.75">
      <c r="A1" s="226" t="s">
        <v>567</v>
      </c>
      <c r="B1" s="195"/>
    </row>
    <row r="2" spans="1:2">
      <c r="A2" s="202" t="s">
        <v>29</v>
      </c>
      <c r="B2" s="139" t="s">
        <v>568</v>
      </c>
    </row>
    <row r="3" spans="1:2">
      <c r="A3" s="202" t="s">
        <v>30</v>
      </c>
      <c r="B3" s="139" t="s">
        <v>569</v>
      </c>
    </row>
    <row r="4" spans="1:2">
      <c r="A4" s="202" t="s">
        <v>31</v>
      </c>
      <c r="B4" s="139" t="s">
        <v>570</v>
      </c>
    </row>
    <row r="5" spans="1:2">
      <c r="A5" s="202" t="s">
        <v>32</v>
      </c>
      <c r="B5" s="139" t="s">
        <v>571</v>
      </c>
    </row>
    <row r="6" spans="1:2">
      <c r="A6" s="202" t="s">
        <v>33</v>
      </c>
      <c r="B6" s="202" t="s">
        <v>572</v>
      </c>
    </row>
    <row r="7" spans="1:2">
      <c r="A7" s="202" t="s">
        <v>34</v>
      </c>
      <c r="B7" s="202" t="s">
        <v>573</v>
      </c>
    </row>
    <row r="8" spans="1:2">
      <c r="A8" s="202" t="s">
        <v>37</v>
      </c>
      <c r="B8" s="139" t="s">
        <v>574</v>
      </c>
    </row>
    <row r="9" spans="1:2">
      <c r="A9" s="202" t="s">
        <v>39</v>
      </c>
      <c r="B9" s="202" t="s">
        <v>575</v>
      </c>
    </row>
    <row r="10" spans="1:2">
      <c r="A10" s="202" t="s">
        <v>40</v>
      </c>
      <c r="B10" s="202" t="s">
        <v>576</v>
      </c>
    </row>
    <row r="11" spans="1:2">
      <c r="A11" s="202" t="s">
        <v>38</v>
      </c>
      <c r="B11" s="202" t="s">
        <v>577</v>
      </c>
    </row>
    <row r="12" spans="1:2">
      <c r="A12" s="202" t="s">
        <v>41</v>
      </c>
      <c r="B12" s="202" t="s">
        <v>578</v>
      </c>
    </row>
    <row r="13" spans="1:2">
      <c r="A13" s="202" t="s">
        <v>42</v>
      </c>
      <c r="B13" s="139" t="s">
        <v>579</v>
      </c>
    </row>
    <row r="14" spans="1:2">
      <c r="A14" s="202" t="s">
        <v>43</v>
      </c>
      <c r="B14" s="139" t="s">
        <v>580</v>
      </c>
    </row>
    <row r="15" spans="1:2">
      <c r="A15" s="202" t="s">
        <v>44</v>
      </c>
      <c r="B15" s="139" t="s">
        <v>581</v>
      </c>
    </row>
    <row r="16" spans="1:2">
      <c r="A16" s="202" t="s">
        <v>45</v>
      </c>
      <c r="B16" s="139" t="s">
        <v>582</v>
      </c>
    </row>
    <row r="17" spans="1:3">
      <c r="A17" s="202" t="s">
        <v>46</v>
      </c>
      <c r="B17" s="139" t="s">
        <v>583</v>
      </c>
    </row>
    <row r="18" spans="1:3">
      <c r="A18" s="202" t="s">
        <v>47</v>
      </c>
      <c r="B18" s="336" t="s">
        <v>682</v>
      </c>
    </row>
    <row r="19" spans="1:3">
      <c r="A19" s="202" t="s">
        <v>48</v>
      </c>
      <c r="B19" s="202" t="s">
        <v>584</v>
      </c>
    </row>
    <row r="20" spans="1:3">
      <c r="A20" s="202" t="s">
        <v>49</v>
      </c>
      <c r="B20" s="202" t="s">
        <v>585</v>
      </c>
    </row>
    <row r="21" spans="1:3">
      <c r="A21" s="202" t="s">
        <v>50</v>
      </c>
      <c r="B21" s="202" t="s">
        <v>586</v>
      </c>
    </row>
    <row r="22" spans="1:3">
      <c r="A22" s="202" t="s">
        <v>51</v>
      </c>
      <c r="B22" s="202" t="s">
        <v>587</v>
      </c>
    </row>
    <row r="23" spans="1:3">
      <c r="A23" s="202" t="s">
        <v>52</v>
      </c>
      <c r="B23" s="202" t="s">
        <v>588</v>
      </c>
    </row>
    <row r="24" spans="1:3">
      <c r="A24" s="202" t="s">
        <v>53</v>
      </c>
      <c r="B24" s="202" t="s">
        <v>589</v>
      </c>
    </row>
    <row r="25" spans="1:3">
      <c r="A25" s="202" t="s">
        <v>54</v>
      </c>
      <c r="B25" s="202" t="s">
        <v>590</v>
      </c>
    </row>
    <row r="26" spans="1:3">
      <c r="A26" s="202" t="s">
        <v>55</v>
      </c>
      <c r="B26" s="202" t="s">
        <v>591</v>
      </c>
    </row>
    <row r="27" spans="1:3">
      <c r="A27" s="202" t="s">
        <v>56</v>
      </c>
      <c r="B27" s="202" t="s">
        <v>592</v>
      </c>
    </row>
    <row r="28" spans="1:3">
      <c r="A28" s="202" t="s">
        <v>57</v>
      </c>
      <c r="B28" s="202" t="s">
        <v>593</v>
      </c>
    </row>
    <row r="29" spans="1:3">
      <c r="A29" s="202" t="s">
        <v>58</v>
      </c>
      <c r="B29" s="202" t="s">
        <v>594</v>
      </c>
    </row>
    <row r="30" spans="1:3">
      <c r="A30" s="202" t="s">
        <v>59</v>
      </c>
      <c r="B30" s="202" t="s">
        <v>595</v>
      </c>
    </row>
    <row r="31" spans="1:3">
      <c r="A31" s="202" t="s">
        <v>60</v>
      </c>
      <c r="B31" s="202" t="s">
        <v>596</v>
      </c>
    </row>
    <row r="32" spans="1:3">
      <c r="A32" s="227" t="s">
        <v>68</v>
      </c>
      <c r="B32" s="201" t="s">
        <v>597</v>
      </c>
      <c r="C32" s="228" t="s">
        <v>598</v>
      </c>
    </row>
    <row r="33" spans="1:3">
      <c r="A33" s="202" t="s">
        <v>69</v>
      </c>
      <c r="B33" s="139" t="s">
        <v>599</v>
      </c>
      <c r="C33" s="172" t="s">
        <v>600</v>
      </c>
    </row>
    <row r="34" spans="1:3">
      <c r="A34" s="216" t="s">
        <v>70</v>
      </c>
      <c r="B34" s="195" t="s">
        <v>601</v>
      </c>
      <c r="C34" s="41"/>
    </row>
    <row r="35" spans="1:3">
      <c r="A35" s="202" t="s">
        <v>72</v>
      </c>
      <c r="B35" s="202" t="s">
        <v>602</v>
      </c>
    </row>
    <row r="36" spans="1:3">
      <c r="A36" s="202" t="s">
        <v>73</v>
      </c>
      <c r="B36" s="202" t="s">
        <v>603</v>
      </c>
    </row>
    <row r="37" spans="1:3">
      <c r="A37" s="202" t="s">
        <v>76</v>
      </c>
      <c r="B37" s="202" t="s">
        <v>604</v>
      </c>
    </row>
    <row r="38" spans="1:3">
      <c r="A38" s="202" t="s">
        <v>78</v>
      </c>
      <c r="B38" s="202" t="s">
        <v>605</v>
      </c>
    </row>
    <row r="39" spans="1:3">
      <c r="A39" s="202" t="s">
        <v>79</v>
      </c>
      <c r="B39" s="202" t="s">
        <v>606</v>
      </c>
    </row>
    <row r="40" spans="1:3">
      <c r="A40" s="202" t="s">
        <v>81</v>
      </c>
      <c r="B40" s="202" t="s">
        <v>607</v>
      </c>
    </row>
    <row r="41" spans="1:3">
      <c r="A41" s="202" t="s">
        <v>608</v>
      </c>
      <c r="B41" s="202" t="s">
        <v>609</v>
      </c>
    </row>
    <row r="42" spans="1:3">
      <c r="A42" s="202" t="s">
        <v>610</v>
      </c>
      <c r="B42" s="202" t="s">
        <v>611</v>
      </c>
    </row>
    <row r="43" spans="1:3">
      <c r="A43" s="202" t="s">
        <v>612</v>
      </c>
      <c r="B43" s="202" t="s">
        <v>613</v>
      </c>
    </row>
    <row r="44" spans="1:3">
      <c r="A44" s="202" t="s">
        <v>614</v>
      </c>
      <c r="B44" s="202" t="s">
        <v>615</v>
      </c>
    </row>
    <row r="45" spans="1:3">
      <c r="A45" s="202" t="s">
        <v>83</v>
      </c>
      <c r="B45" s="202" t="s">
        <v>616</v>
      </c>
      <c r="C45" s="139" t="s">
        <v>617</v>
      </c>
    </row>
    <row r="46" spans="1:3">
      <c r="A46" s="202" t="s">
        <v>84</v>
      </c>
      <c r="B46" s="202" t="s">
        <v>616</v>
      </c>
      <c r="C46" s="139" t="s">
        <v>618</v>
      </c>
    </row>
    <row r="47" spans="1:3">
      <c r="A47" s="202" t="s">
        <v>85</v>
      </c>
      <c r="B47" s="202" t="s">
        <v>616</v>
      </c>
      <c r="C47" s="139" t="s">
        <v>619</v>
      </c>
    </row>
    <row r="48" spans="1:3">
      <c r="A48" s="202" t="s">
        <v>86</v>
      </c>
      <c r="B48" s="202" t="s">
        <v>616</v>
      </c>
      <c r="C48" s="139" t="s">
        <v>620</v>
      </c>
    </row>
    <row r="49" spans="1:3">
      <c r="A49" s="202" t="s">
        <v>88</v>
      </c>
      <c r="B49" s="202" t="s">
        <v>621</v>
      </c>
      <c r="C49" s="139" t="s">
        <v>617</v>
      </c>
    </row>
    <row r="50" spans="1:3">
      <c r="A50" s="202" t="s">
        <v>89</v>
      </c>
      <c r="B50" s="202" t="s">
        <v>621</v>
      </c>
      <c r="C50" s="139" t="s">
        <v>618</v>
      </c>
    </row>
    <row r="51" spans="1:3">
      <c r="A51" s="202" t="s">
        <v>90</v>
      </c>
      <c r="B51" s="202" t="s">
        <v>621</v>
      </c>
      <c r="C51" s="139" t="s">
        <v>619</v>
      </c>
    </row>
    <row r="52" spans="1:3">
      <c r="A52" s="202" t="s">
        <v>91</v>
      </c>
      <c r="B52" s="202" t="s">
        <v>621</v>
      </c>
      <c r="C52" s="139" t="s">
        <v>620</v>
      </c>
    </row>
    <row r="53" spans="1:3">
      <c r="A53" s="202" t="s">
        <v>87</v>
      </c>
      <c r="B53" s="202" t="s">
        <v>621</v>
      </c>
    </row>
    <row r="54" spans="1:3">
      <c r="A54" s="202" t="s">
        <v>82</v>
      </c>
      <c r="B54" s="202" t="s">
        <v>616</v>
      </c>
    </row>
    <row r="55" spans="1:3">
      <c r="A55" s="202" t="s">
        <v>94</v>
      </c>
      <c r="B55" s="139" t="s">
        <v>622</v>
      </c>
    </row>
    <row r="56" spans="1:3">
      <c r="A56" s="202" t="s">
        <v>95</v>
      </c>
      <c r="B56" s="139" t="s">
        <v>623</v>
      </c>
    </row>
    <row r="57" spans="1:3">
      <c r="A57" s="202" t="s">
        <v>96</v>
      </c>
      <c r="B57" s="139" t="s">
        <v>624</v>
      </c>
    </row>
    <row r="58" spans="1:3">
      <c r="A58" s="202" t="s">
        <v>97</v>
      </c>
      <c r="B58" s="139" t="s">
        <v>625</v>
      </c>
    </row>
    <row r="59" spans="1:3">
      <c r="A59" s="202" t="s">
        <v>626</v>
      </c>
      <c r="B59" s="139" t="s">
        <v>627</v>
      </c>
    </row>
    <row r="60" spans="1:3">
      <c r="A60" s="202" t="s">
        <v>628</v>
      </c>
      <c r="B60" s="202" t="s">
        <v>629</v>
      </c>
    </row>
    <row r="61" spans="1:3">
      <c r="A61" s="202" t="s">
        <v>99</v>
      </c>
      <c r="B61" s="202" t="s">
        <v>630</v>
      </c>
    </row>
    <row r="62" spans="1:3">
      <c r="A62" s="202" t="s">
        <v>106</v>
      </c>
      <c r="B62" s="202" t="s">
        <v>631</v>
      </c>
    </row>
    <row r="63" spans="1:3">
      <c r="A63" s="202" t="s">
        <v>104</v>
      </c>
      <c r="B63" s="202" t="s">
        <v>632</v>
      </c>
    </row>
    <row r="64" spans="1:3">
      <c r="A64" s="202" t="s">
        <v>107</v>
      </c>
      <c r="B64" s="202" t="s">
        <v>633</v>
      </c>
    </row>
    <row r="65" spans="1:2">
      <c r="A65" s="202" t="s">
        <v>108</v>
      </c>
      <c r="B65" s="202" t="s">
        <v>634</v>
      </c>
    </row>
    <row r="66" spans="1:2" ht="15" customHeight="1">
      <c r="A66" s="202" t="s">
        <v>110</v>
      </c>
      <c r="B66" s="202" t="s">
        <v>635</v>
      </c>
    </row>
    <row r="67" spans="1:2" ht="15" customHeight="1">
      <c r="A67" t="s">
        <v>113</v>
      </c>
      <c r="B67" s="202" t="s">
        <v>636</v>
      </c>
    </row>
    <row r="68" spans="1:2" ht="15" customHeight="1">
      <c r="A68" t="s">
        <v>637</v>
      </c>
      <c r="B68" t="s">
        <v>638</v>
      </c>
    </row>
    <row r="69" spans="1:2" ht="15" customHeight="1">
      <c r="A69" t="s">
        <v>639</v>
      </c>
      <c r="B69" t="s">
        <v>640</v>
      </c>
    </row>
    <row r="70" spans="1:2" ht="15" customHeight="1">
      <c r="A70" t="s">
        <v>115</v>
      </c>
      <c r="B70" t="s">
        <v>641</v>
      </c>
    </row>
    <row r="71" spans="1:2" ht="15" customHeight="1">
      <c r="A71" s="202" t="s">
        <v>116</v>
      </c>
      <c r="B71" s="271" t="s">
        <v>642</v>
      </c>
    </row>
    <row r="72" spans="1:2" ht="15" customHeight="1">
      <c r="A72" t="s">
        <v>117</v>
      </c>
      <c r="B72" t="s">
        <v>643</v>
      </c>
    </row>
    <row r="73" spans="1:2" ht="15" customHeight="1">
      <c r="A73" t="s">
        <v>118</v>
      </c>
      <c r="B73" t="s">
        <v>644</v>
      </c>
    </row>
    <row r="74" spans="1:2" ht="15" customHeight="1">
      <c r="A74" t="s">
        <v>119</v>
      </c>
      <c r="B74" t="s">
        <v>645</v>
      </c>
    </row>
    <row r="75" spans="1:2" ht="15" customHeight="1">
      <c r="A75" t="s">
        <v>120</v>
      </c>
      <c r="B75" t="s">
        <v>646</v>
      </c>
    </row>
    <row r="76" spans="1:2" ht="15" customHeight="1">
      <c r="A76" s="273" t="s">
        <v>121</v>
      </c>
      <c r="B76" t="s">
        <v>647</v>
      </c>
    </row>
    <row r="77" spans="1:2" ht="15" customHeight="1">
      <c r="A77" s="273" t="s">
        <v>122</v>
      </c>
      <c r="B77" t="s">
        <v>648</v>
      </c>
    </row>
    <row r="78" spans="1:2" ht="15" customHeight="1">
      <c r="A78" s="273" t="s">
        <v>123</v>
      </c>
      <c r="B78" t="s">
        <v>649</v>
      </c>
    </row>
    <row r="79" spans="1:2" ht="15" customHeight="1">
      <c r="A79" t="s">
        <v>650</v>
      </c>
      <c r="B79" t="s">
        <v>651</v>
      </c>
    </row>
    <row r="80" spans="1:2" ht="15" customHeight="1">
      <c r="A80" t="s">
        <v>124</v>
      </c>
      <c r="B80" t="s">
        <v>652</v>
      </c>
    </row>
    <row r="81" spans="1:3" ht="15" customHeight="1">
      <c r="A81" t="s">
        <v>125</v>
      </c>
      <c r="B81" t="s">
        <v>653</v>
      </c>
    </row>
    <row r="82" spans="1:3" ht="15" customHeight="1">
      <c r="A82" t="s">
        <v>79</v>
      </c>
      <c r="B82" t="s">
        <v>654</v>
      </c>
    </row>
    <row r="83" spans="1:3" ht="15" customHeight="1">
      <c r="A83" t="s">
        <v>129</v>
      </c>
      <c r="B83" t="s">
        <v>655</v>
      </c>
    </row>
    <row r="84" spans="1:3" ht="15" customHeight="1">
      <c r="A84" t="s">
        <v>130</v>
      </c>
      <c r="B84" t="s">
        <v>656</v>
      </c>
    </row>
    <row r="85" spans="1:3" ht="15" customHeight="1">
      <c r="A85" s="132" t="s">
        <v>131</v>
      </c>
      <c r="B85" t="s">
        <v>657</v>
      </c>
    </row>
    <row r="86" spans="1:3" ht="15" customHeight="1">
      <c r="A86" t="s">
        <v>132</v>
      </c>
      <c r="B86" t="s">
        <v>658</v>
      </c>
    </row>
    <row r="87" spans="1:3" ht="15" customHeight="1">
      <c r="A87" t="s">
        <v>133</v>
      </c>
      <c r="B87" t="s">
        <v>659</v>
      </c>
    </row>
    <row r="88" spans="1:3" ht="15" customHeight="1">
      <c r="A88" t="s">
        <v>134</v>
      </c>
      <c r="B88" t="s">
        <v>660</v>
      </c>
    </row>
    <row r="89" spans="1:3" ht="15" customHeight="1">
      <c r="A89" s="273" t="s">
        <v>135</v>
      </c>
      <c r="B89" t="s">
        <v>661</v>
      </c>
    </row>
    <row r="90" spans="1:3" ht="15" customHeight="1">
      <c r="A90" s="273" t="s">
        <v>136</v>
      </c>
      <c r="B90" t="s">
        <v>662</v>
      </c>
    </row>
    <row r="91" spans="1:3" ht="15" customHeight="1">
      <c r="A91" t="s">
        <v>138</v>
      </c>
      <c r="B91" t="s">
        <v>663</v>
      </c>
    </row>
    <row r="92" spans="1:3" ht="15" customHeight="1">
      <c r="A92" t="s">
        <v>137</v>
      </c>
      <c r="B92" t="s">
        <v>664</v>
      </c>
    </row>
    <row r="93" spans="1:3" ht="15" customHeight="1">
      <c r="A93" t="s">
        <v>665</v>
      </c>
      <c r="B93" t="s">
        <v>666</v>
      </c>
    </row>
    <row r="94" spans="1:3" ht="15" customHeight="1">
      <c r="A94" s="328" t="s">
        <v>139</v>
      </c>
      <c r="B94" s="328" t="s">
        <v>667</v>
      </c>
      <c r="C94" s="328"/>
    </row>
    <row r="96" spans="1:3" ht="15" customHeight="1">
      <c r="A96" s="229"/>
    </row>
    <row r="97" spans="1:2" ht="15" customHeight="1">
      <c r="A97" s="17" t="s">
        <v>19</v>
      </c>
      <c r="B97" t="s">
        <v>676</v>
      </c>
    </row>
    <row r="98" spans="1:2" ht="15" customHeight="1">
      <c r="A98" s="330" t="s">
        <v>20</v>
      </c>
      <c r="B98" s="329" t="s">
        <v>677</v>
      </c>
    </row>
    <row r="99" spans="1:2" ht="15" customHeight="1">
      <c r="A99" s="330" t="s">
        <v>21</v>
      </c>
      <c r="B99" s="329" t="s">
        <v>678</v>
      </c>
    </row>
    <row r="100" spans="1:2" ht="15" customHeight="1">
      <c r="A100" s="17" t="s">
        <v>22</v>
      </c>
      <c r="B100" s="329" t="s">
        <v>679</v>
      </c>
    </row>
    <row r="101" spans="1:2" ht="15" customHeight="1">
      <c r="A101" s="17" t="s">
        <v>23</v>
      </c>
      <c r="B101" s="329" t="s">
        <v>681</v>
      </c>
    </row>
    <row r="102" spans="1:2" ht="15" customHeight="1">
      <c r="A102" s="17"/>
      <c r="B102" s="17" t="s">
        <v>24</v>
      </c>
    </row>
    <row r="103" spans="1:2" ht="15" customHeight="1">
      <c r="A103" s="17"/>
      <c r="B103" s="17" t="s">
        <v>680</v>
      </c>
    </row>
    <row r="105" spans="1:2" ht="15" customHeight="1">
      <c r="A105" t="s">
        <v>683</v>
      </c>
      <c r="B105" t="s">
        <v>573</v>
      </c>
    </row>
    <row r="106" spans="1:2" ht="15" customHeight="1">
      <c r="A106" t="s">
        <v>50</v>
      </c>
      <c r="B106" t="s">
        <v>684</v>
      </c>
    </row>
    <row r="107" spans="1:2" ht="15" customHeight="1">
      <c r="A107" t="s">
        <v>53</v>
      </c>
      <c r="B107" t="s">
        <v>589</v>
      </c>
    </row>
    <row r="108" spans="1:2" ht="15" customHeight="1">
      <c r="A108" t="s">
        <v>685</v>
      </c>
      <c r="B108" t="s">
        <v>686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Physchem_properties</vt:lpstr>
      <vt:lpstr>Mechanical_properties</vt:lpstr>
      <vt:lpstr>Thermal_properties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NIKOLAOS SOTIROPOULOS</cp:lastModifiedBy>
  <cp:revision/>
  <dcterms:created xsi:type="dcterms:W3CDTF">2025-01-26T20:45:12Z</dcterms:created>
  <dcterms:modified xsi:type="dcterms:W3CDTF">2026-07-06T13:43:51Z</dcterms:modified>
  <cp:category/>
  <cp:contentStatus/>
</cp:coreProperties>
</file>